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Guidelines" sheetId="2" r:id="rId6"/>
    <sheet state="visible" name="Participant comms" sheetId="3" r:id="rId7"/>
    <sheet state="visible" name="Social Media Plan" sheetId="4" r:id="rId8"/>
    <sheet state="visible" name="Plan #5" sheetId="5" r:id="rId9"/>
    <sheet state="visible" name="Plan" sheetId="6" r:id="rId10"/>
    <sheet state="hidden" name="Sheet10" sheetId="7" r:id="rId11"/>
    <sheet state="visible" name="Commuication after the hackatho" sheetId="8" r:id="rId12"/>
    <sheet state="visible" name="Team" sheetId="9" r:id="rId13"/>
    <sheet state="visible" name="Social media posting plan"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tc={0065a300-f701-4a03-a349-b947c6d605a7}</author>
    <author>tc={0746270a-4229-4806-a7fd-f00c3e3fff84}</author>
    <author>tc={962bde22-e8ca-4bc5-9c00-71339cf7129f}</author>
  </authors>
  <commentList>
    <comment authorId="0" xr:uid="{0065a300-f701-4a03-a349-b947c6d605a7}" ref="H25">
      <text>
        <t xml:space="preserve">[Threaded comment]
 Your version of Excel allows you to read this threaded comment; however, any edits to it will get removed if the file is opened in a newer version of Excel. Learn more: https://go.microsoft.com/fwlink/?linkid=870924
Comment:
	March
</t>
      </text>
    </comment>
    <comment authorId="1" xr:uid="{0746270a-4229-4806-a7fd-f00c3e3fff84}" ref="I25">
      <text>
        <t xml:space="preserve">[Threaded comment]
 Your version of Excel allows you to read this threaded comment; however, any edits to it will get removed if the file is opened in a newer version of Excel. Learn more: https://go.microsoft.com/fwlink/?linkid=870924
Comment:
	will March 9
</t>
      </text>
    </comment>
    <comment authorId="2" xr:uid="{962bde22-e8ca-4bc5-9c00-71339cf7129f}" ref="F25">
      <text>
        <t xml:space="preserve">[Threaded comment]
 Your version of Excel allows you to read this threaded comment; however, any edits to it will get removed if the file is opened in a newer version of Excel. Learn more: https://go.microsoft.com/fwlink/?linkid=870924
Comment:
	Bulk but JUST to new accepted for specific round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EITHER fill with a template that can be reused for future posts OR type NO if it doesnt fit the channel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tc={9afcba85-4ddd-44a6-bf25-347f02046954}</author>
    <author>tc={c352d8b4-844c-4d11-8854-19cd8218e5a4}</author>
  </authors>
  <commentList>
    <comment authorId="0" xr:uid="{9afcba85-4ddd-44a6-bf25-347f02046954}" ref="D1">
      <text>
        <t xml:space="preserve">[Threaded comment]
 Your version of Excel allows you to read this threaded comment; however, any edits to it will get removed if the file is opened in a newer version of Excel. Learn more: https://go.microsoft.com/fwlink/?linkid=870924
Comment:
	@noah.leon.rappl@gmail.com
Assigned to noah.leon.rappl@gmail.com
</t>
      </text>
    </comment>
    <comment authorId="1" xr:uid="{c352d8b4-844c-4d11-8854-19cd8218e5a4}" ref="C1">
      <text>
        <t xml:space="preserve">[Threaded comment]
 Your version of Excel allows you to read this threaded comment; however, any edits to it will get removed if the file is opened in a newer version of Excel. Learn more: https://go.microsoft.com/fwlink/?linkid=870924
Comment:
	@noah.leon.rappl@gmail.com  pleas update
Assigned to noah.leon.rappl@gmail.com
</t>
      </text>
    </comment>
  </commentList>
</comments>
</file>

<file path=xl/sharedStrings.xml><?xml version="1.0" encoding="utf-8"?>
<sst xmlns="http://schemas.openxmlformats.org/spreadsheetml/2006/main" count="1040" uniqueCount="383">
  <si>
    <t>Document name</t>
  </si>
  <si>
    <t>Overview</t>
  </si>
  <si>
    <t>Description</t>
  </si>
  <si>
    <t>Explanation of Social media guidelines, posting plan and learnings</t>
  </si>
  <si>
    <t>Explanation of tabs</t>
  </si>
  <si>
    <t>Guidelines</t>
  </si>
  <si>
    <t>General Social Media Guidelines, Corporate Design, posting lengths</t>
  </si>
  <si>
    <t>Participant comms</t>
  </si>
  <si>
    <t>Comms plan for all applicants incl templates</t>
  </si>
  <si>
    <t>Social Media plan</t>
  </si>
  <si>
    <t>Overall social media strategy and posting plan</t>
  </si>
  <si>
    <t xml:space="preserve">Corporate Design </t>
  </si>
  <si>
    <t xml:space="preserve">Key guardrails </t>
  </si>
  <si>
    <t>‘‘‘÷÷÷</t>
  </si>
  <si>
    <t>Hackathon Date</t>
  </si>
  <si>
    <t>Batch</t>
  </si>
  <si>
    <t>Application Deadline</t>
  </si>
  <si>
    <t>Comms Deadline decision</t>
  </si>
  <si>
    <t>Batch 1</t>
  </si>
  <si>
    <t>Batch 2</t>
  </si>
  <si>
    <t>Batch 3</t>
  </si>
  <si>
    <t>Batch 4</t>
  </si>
  <si>
    <t>Batch 5</t>
  </si>
  <si>
    <t>Batch 6</t>
  </si>
  <si>
    <t>Hub prio cut-off</t>
  </si>
  <si>
    <t>Communication journey</t>
  </si>
  <si>
    <t>Required assets / Pre-work</t>
  </si>
  <si>
    <t>Journey step</t>
  </si>
  <si>
    <t>Journey name</t>
  </si>
  <si>
    <t>Content</t>
  </si>
  <si>
    <t>Templates</t>
  </si>
  <si>
    <t>Personalization</t>
  </si>
  <si>
    <t>Who</t>
  </si>
  <si>
    <t>When Batch 1</t>
  </si>
  <si>
    <t>When Batch 2</t>
  </si>
  <si>
    <t>When Batch 3</t>
  </si>
  <si>
    <t>When Batch 4</t>
  </si>
  <si>
    <t>When Batch 5</t>
  </si>
  <si>
    <t>When Batch 6</t>
  </si>
  <si>
    <t>Global Luma</t>
  </si>
  <si>
    <t>Hub Luma</t>
  </si>
  <si>
    <t>Discord, Zoom</t>
  </si>
  <si>
    <t>Social media GIF</t>
  </si>
  <si>
    <t>Referral code</t>
  </si>
  <si>
    <t>Info Slide Deck</t>
  </si>
  <si>
    <t>Agenda</t>
  </si>
  <si>
    <t>Prizes</t>
  </si>
  <si>
    <t>Sign-up Code</t>
  </si>
  <si>
    <t>Speakers</t>
  </si>
  <si>
    <t>Sponsors</t>
  </si>
  <si>
    <t>Feedback Survey</t>
  </si>
  <si>
    <t>Prize survey</t>
  </si>
  <si>
    <t>1a</t>
  </si>
  <si>
    <t>Accepted</t>
  </si>
  <si>
    <t>Information about Status - Accepted + Referral Link</t>
  </si>
  <si>
    <t xml:space="preserve">Bulk </t>
  </si>
  <si>
    <t>All pre-accepted</t>
  </si>
  <si>
    <t>Yes</t>
  </si>
  <si>
    <t>-</t>
  </si>
  <si>
    <t>1b</t>
  </si>
  <si>
    <t>Rejected</t>
  </si>
  <si>
    <t>Information about Status - Rejected</t>
  </si>
  <si>
    <t>All pre-rejected</t>
  </si>
  <si>
    <t>Whitelist</t>
  </si>
  <si>
    <t>Anti-Spam - Whitelist Main-Emails</t>
  </si>
  <si>
    <t>Personal</t>
  </si>
  <si>
    <t>Signupcode</t>
  </si>
  <si>
    <t>Sign-up code for platform, ask to register for hub and select team</t>
  </si>
  <si>
    <t>All accepted</t>
  </si>
  <si>
    <t xml:space="preserve">Speaker </t>
  </si>
  <si>
    <t>Announce speakers + Referral Link</t>
  </si>
  <si>
    <t xml:space="preserve">Announce sponsors </t>
  </si>
  <si>
    <t>6a</t>
  </si>
  <si>
    <t>Hub_confirm</t>
  </si>
  <si>
    <t xml:space="preserve">Invitation to your hub </t>
  </si>
  <si>
    <t>All accepted_hubprio</t>
  </si>
  <si>
    <t>6b</t>
  </si>
  <si>
    <t>Hub_waitlist</t>
  </si>
  <si>
    <t>Info that you've been waitlisted</t>
  </si>
  <si>
    <t>All accepted_noprio</t>
  </si>
  <si>
    <t>Hub_waitlist_confirm</t>
  </si>
  <si>
    <t>Info that you've been accepted off waitlist</t>
  </si>
  <si>
    <t>Last Info Mail</t>
  </si>
  <si>
    <t>Last info mail about zoom, discord etc.</t>
  </si>
  <si>
    <t>Seeyouin1hour</t>
  </si>
  <si>
    <t>Reminder to join zoom in one hour</t>
  </si>
  <si>
    <t>Deadline</t>
  </si>
  <si>
    <t xml:space="preserve">Deadline reminder </t>
  </si>
  <si>
    <t>Comebackat2</t>
  </si>
  <si>
    <t>Reminder to come back to the pitches</t>
  </si>
  <si>
    <t>Thank you</t>
  </si>
  <si>
    <t>Thank you and feedback survey + social</t>
  </si>
  <si>
    <t xml:space="preserve">Prizes </t>
  </si>
  <si>
    <t>Collect info for prize money</t>
  </si>
  <si>
    <t>All accepted_Winners</t>
  </si>
  <si>
    <t>Social Media Post types</t>
  </si>
  <si>
    <t>Type</t>
  </si>
  <si>
    <t>Name</t>
  </si>
  <si>
    <t>IG</t>
  </si>
  <si>
    <t>LinkedIn</t>
  </si>
  <si>
    <t>X</t>
  </si>
  <si>
    <t>Luma</t>
  </si>
  <si>
    <t>WhatsApp</t>
  </si>
  <si>
    <t>Other</t>
  </si>
  <si>
    <t>Hackathon</t>
  </si>
  <si>
    <t>Testimonials</t>
  </si>
  <si>
    <t>No</t>
  </si>
  <si>
    <t>Deadline Reminder</t>
  </si>
  <si>
    <t>Speaker announcement</t>
  </si>
  <si>
    <t>Sponsor announcement</t>
  </si>
  <si>
    <t>Credits to hack</t>
  </si>
  <si>
    <t>Hub announcements</t>
  </si>
  <si>
    <t xml:space="preserve">See you in X hours </t>
  </si>
  <si>
    <t>Meet (X) Hacker</t>
  </si>
  <si>
    <t>Venture Lab</t>
  </si>
  <si>
    <t>Meet the teams</t>
  </si>
  <si>
    <t>Meet (X) person</t>
  </si>
  <si>
    <t>Weekly videos</t>
  </si>
  <si>
    <t>Demo Day</t>
  </si>
  <si>
    <t>Investor Day countdown</t>
  </si>
  <si>
    <t>Investor day recap</t>
  </si>
  <si>
    <t>Follow-up teams</t>
  </si>
  <si>
    <t>Week of Mar. 9</t>
  </si>
  <si>
    <t>Monday</t>
  </si>
  <si>
    <t>Tuesday</t>
  </si>
  <si>
    <t>Wednesday</t>
  </si>
  <si>
    <t>Thursday</t>
  </si>
  <si>
    <t>Friday</t>
  </si>
  <si>
    <t>Saturday</t>
  </si>
  <si>
    <t>Sunday</t>
  </si>
  <si>
    <t>Channel</t>
  </si>
  <si>
    <t>Post name</t>
  </si>
  <si>
    <t>Asset link</t>
  </si>
  <si>
    <t>Caption/ text link</t>
  </si>
  <si>
    <t>Posted?</t>
  </si>
  <si>
    <t>Week of Mar. 16</t>
  </si>
  <si>
    <t>Date to shipp</t>
  </si>
  <si>
    <t>Topic</t>
  </si>
  <si>
    <t>Doc</t>
  </si>
  <si>
    <t>Personal / bulk</t>
  </si>
  <si>
    <t>Social media GIF (with sponsors)</t>
  </si>
  <si>
    <t>Social media handels</t>
  </si>
  <si>
    <t>No idea needed</t>
  </si>
  <si>
    <t>Next application deadline</t>
  </si>
  <si>
    <t>Rejection</t>
  </si>
  <si>
    <t>OrG-ID</t>
  </si>
  <si>
    <t>Accepted round 01</t>
  </si>
  <si>
    <t>1st Acceptance Confirmation (Round 01).docx</t>
  </si>
  <si>
    <t>Referral codes round 01</t>
  </si>
  <si>
    <t>Referral codes - Round 01.docx</t>
  </si>
  <si>
    <t>Accepted round 01 - 03</t>
  </si>
  <si>
    <t>2nd Acceptance Confimation (Round 01 - 03).docx</t>
  </si>
  <si>
    <t>Referral e-mail</t>
  </si>
  <si>
    <t>Rejections round 01 - 03</t>
  </si>
  <si>
    <t>Rejection update</t>
  </si>
  <si>
    <t>Acceptance round 04a + Agenda &amp; FAQ</t>
  </si>
  <si>
    <t>Final Acceptance Confirmation.docx</t>
  </si>
  <si>
    <t>Acceptance round 04b + Agenda &amp; FAQ</t>
  </si>
  <si>
    <t>Rejections round 04</t>
  </si>
  <si>
    <t>Final Rejections</t>
  </si>
  <si>
    <t>Information for participants global</t>
  </si>
  <si>
    <t>Status</t>
  </si>
  <si>
    <t>Discord</t>
  </si>
  <si>
    <t>Speaker</t>
  </si>
  <si>
    <t>Platform</t>
  </si>
  <si>
    <t>Zoom</t>
  </si>
  <si>
    <t>17/04</t>
  </si>
  <si>
    <t>Sent</t>
  </si>
  <si>
    <t>Agenda &amp; FAQ</t>
  </si>
  <si>
    <t>4# Hackathon Agenda &amp; FAQ.docx</t>
  </si>
  <si>
    <t>Correction</t>
  </si>
  <si>
    <t>Check your spam and whitelist lbieske@mit.edu</t>
  </si>
  <si>
    <t>Final_Check your spam - 4th Hackahton</t>
  </si>
  <si>
    <t>Platform &amp; Zoom</t>
  </si>
  <si>
    <t>Noah to draft, coordinate  with Nico</t>
  </si>
  <si>
    <t>E-Mail crita --&gt; e-mail are too long</t>
  </si>
  <si>
    <t>Email</t>
  </si>
  <si>
    <t>Participants</t>
  </si>
  <si>
    <t xml:space="preserve">Acceptance / Rejection </t>
  </si>
  <si>
    <t>Should be done next time</t>
  </si>
  <si>
    <t>Not yet</t>
  </si>
  <si>
    <t>Reminder: E-Mail &amp; Luma</t>
  </si>
  <si>
    <t>Luma updates - 4th hackahton</t>
  </si>
  <si>
    <t>Speaker sessions</t>
  </si>
  <si>
    <t xml:space="preserve">Hub highlights: CTO Mozilla is local </t>
  </si>
  <si>
    <t>we have a humanoid</t>
  </si>
  <si>
    <t>Final pitches &amp; how to pitch</t>
  </si>
  <si>
    <t xml:space="preserve">Meet a startup </t>
  </si>
  <si>
    <t>Meet a speaker / sponsor</t>
  </si>
  <si>
    <t>Partner &amp; Prizes</t>
  </si>
  <si>
    <t>Food</t>
  </si>
  <si>
    <t>Information for participants local</t>
  </si>
  <si>
    <t>Status Tracker Hubs</t>
  </si>
  <si>
    <t>Hub</t>
  </si>
  <si>
    <t>Local Luma</t>
  </si>
  <si>
    <t>Access code personl</t>
  </si>
  <si>
    <t>Access code plus 1</t>
  </si>
  <si>
    <t>WhatsApp grou[</t>
  </si>
  <si>
    <t>Local Agenda</t>
  </si>
  <si>
    <t>Hub highlights</t>
  </si>
  <si>
    <t>MIT - Linn</t>
  </si>
  <si>
    <t>Priority 1 participants mit code</t>
  </si>
  <si>
    <t>Bulk</t>
  </si>
  <si>
    <t>Priority 2 - first comes, first serves</t>
  </si>
  <si>
    <t>Linn</t>
  </si>
  <si>
    <t>Reminder to all</t>
  </si>
  <si>
    <t>Stanford - Linn</t>
  </si>
  <si>
    <t>London - Kai</t>
  </si>
  <si>
    <t>Kai</t>
  </si>
  <si>
    <t>Munich - Kai</t>
  </si>
  <si>
    <t>Zurich - Kai</t>
  </si>
  <si>
    <t>Vienna - Kai</t>
  </si>
  <si>
    <t>With team</t>
  </si>
  <si>
    <t>Delhi - Kai</t>
  </si>
  <si>
    <t>Not Sent</t>
  </si>
  <si>
    <t>?</t>
  </si>
  <si>
    <t>Participants Global</t>
  </si>
  <si>
    <t>Noah &amp; Linn</t>
  </si>
  <si>
    <t>Topics</t>
  </si>
  <si>
    <t>Noah</t>
  </si>
  <si>
    <t>Luma for final pitches - guest invitation --&gt; for your guests</t>
  </si>
  <si>
    <t xml:space="preserve">Participants Local </t>
  </si>
  <si>
    <t>Agenda &amp; Room</t>
  </si>
  <si>
    <t>Local leads</t>
  </si>
  <si>
    <t>Reminder 24 h before</t>
  </si>
  <si>
    <t xml:space="preserve">2 h before </t>
  </si>
  <si>
    <t>Final pitches</t>
  </si>
  <si>
    <t>Zoom link to be added (online for the public)</t>
  </si>
  <si>
    <t>Whatsapp for local hubs</t>
  </si>
  <si>
    <t>Hub leads</t>
  </si>
  <si>
    <t>MIT</t>
  </si>
  <si>
    <t>24 h reminder --&gt; "If you can't find the room, message here" + highlight</t>
  </si>
  <si>
    <t>Stanford</t>
  </si>
  <si>
    <t>Mentor</t>
  </si>
  <si>
    <t>Acceptance</t>
  </si>
  <si>
    <t>Jury</t>
  </si>
  <si>
    <t xml:space="preserve">Hub </t>
  </si>
  <si>
    <t xml:space="preserve">If you have a Stanford e-mail </t>
  </si>
  <si>
    <t>And the CV is legit</t>
  </si>
  <si>
    <t xml:space="preserve">Accepted </t>
  </si>
  <si>
    <t>If you have a special referral code</t>
  </si>
  <si>
    <t>Capacity limit is Luma</t>
  </si>
  <si>
    <t>first-come / first serves</t>
  </si>
  <si>
    <t>increase platform capacity</t>
  </si>
  <si>
    <t>Round 3 Accepted: Mar 25</t>
  </si>
  <si>
    <t>Date</t>
  </si>
  <si>
    <t>E-Mail (previous)</t>
  </si>
  <si>
    <r>
      <rPr>
        <b/>
      </rPr>
      <t xml:space="preserve">Luma (previous): </t>
    </r>
    <r>
      <rPr>
        <b/>
        <color rgb="FF1155CC"/>
        <u/>
      </rPr>
      <t>https://luma.com/event/manage/evt-jbjxFRsHeiDZY0X/blasts</t>
    </r>
  </si>
  <si>
    <t>Luma (new)</t>
  </si>
  <si>
    <t>Insta</t>
  </si>
  <si>
    <t>Twitter</t>
  </si>
  <si>
    <t>Email (new)</t>
  </si>
  <si>
    <t>Deadline: Mar 06 | Early Selection - Advantage</t>
  </si>
  <si>
    <t>x</t>
  </si>
  <si>
    <t>Feb 28 (Launch)</t>
  </si>
  <si>
    <t>Mar 01 (Launch)</t>
  </si>
  <si>
    <t>x (Event Live)</t>
  </si>
  <si>
    <t>x (Countdown Sticker)</t>
  </si>
  <si>
    <t>x (Vision Driven Founder Post)</t>
  </si>
  <si>
    <t>Mar 02 (Direct Outreach to strong past builders)</t>
  </si>
  <si>
    <t>Mar 03 (Direct Outreach to strong past builders)</t>
  </si>
  <si>
    <t>Mar 04 (Direct Outreach to strong past builders)</t>
  </si>
  <si>
    <t>Tell your friends &amp; refer them</t>
  </si>
  <si>
    <t>Tell your friends and refer them</t>
  </si>
  <si>
    <t>Reminder 01 closes today</t>
  </si>
  <si>
    <t>3/8/2026 Deadline round 01</t>
  </si>
  <si>
    <t>Deadline: Mar 18 | Priority Review</t>
  </si>
  <si>
    <t>Mar 08 (Early wave closed / Next wave closes Mar 18)</t>
  </si>
  <si>
    <t>09.03. Pre-Rejected / Pre-Accepted</t>
  </si>
  <si>
    <t>Rejections</t>
  </si>
  <si>
    <t>Mar 10 (Past winner feature)</t>
  </si>
  <si>
    <t>Mar 12 (Stats from last hack)</t>
  </si>
  <si>
    <t>Mar 13 (Deadline Priority Review)</t>
  </si>
  <si>
    <t>Mar 15 (Nudges to warm leads)</t>
  </si>
  <si>
    <t>Deadline: Mar 28 | Regular Close</t>
  </si>
  <si>
    <t>Mar 18 (Regular selection closes March 28)</t>
  </si>
  <si>
    <t>Mar 22 (Prestige positioning (MIT, Stanford, ETH))</t>
  </si>
  <si>
    <t>Mar 25 (4 Weeks to Go – Cohort Filling Fast)</t>
  </si>
  <si>
    <t>Mar 25 (Visual: 4 Weeks Countdown)</t>
  </si>
  <si>
    <t>Mar 26 (Deadline Regular Close in 2 days)</t>
  </si>
  <si>
    <t>Mar 28 (Builder testimonials)</t>
  </si>
  <si>
    <t>Deadline: Apr 11 | Final Review - Limited Spots</t>
  </si>
  <si>
    <t>Mar 31 (Deadline Final Review - Limited Spots)</t>
  </si>
  <si>
    <t>31.03. Rejected / Accepted</t>
  </si>
  <si>
    <t>Apr 03 (“Confirmed Builders Already Onboarding”)</t>
  </si>
  <si>
    <t>Apr 03 (Personalized outreach to high-potential applicants)</t>
  </si>
  <si>
    <t>Sponsor Announcement here or later?</t>
  </si>
  <si>
    <t>Apr 05 (2 Day until close for Final Review)</t>
  </si>
  <si>
    <t>Deadline: Apr 17 | Absolut Final - Hard Stop</t>
  </si>
  <si>
    <t>Apr 08 (Hard Stop Referal Only)</t>
  </si>
  <si>
    <t>14.04. Rejected / Accepted</t>
  </si>
  <si>
    <t>Apr 11 (Two weeks until Hack-Nation)</t>
  </si>
  <si>
    <t>Apr 11 (14 days count down)</t>
  </si>
  <si>
    <t>Apr 15 (Personalized outreach to high-potential applicants)</t>
  </si>
  <si>
    <t>Apr 17 (Deadline: Hard Stop Referal Only tomorrow)</t>
  </si>
  <si>
    <t>Deadline: Apr 25 | Final Week</t>
  </si>
  <si>
    <t>Apr 20 (Hype Messages 1)</t>
  </si>
  <si>
    <t>20.04. Rejected / Accepted</t>
  </si>
  <si>
    <t>Apr 22 (72h countdown)</t>
  </si>
  <si>
    <t>Apr 22 (Message Stats - acceptance rate, etc.)</t>
  </si>
  <si>
    <t>Apr 22 (Hype Message 2)</t>
  </si>
  <si>
    <t>Apr 23 (48h countdown)</t>
  </si>
  <si>
    <t>Apr 24 (24h countdown)</t>
  </si>
  <si>
    <t>Communication as little as possible (emphasis on single message)</t>
  </si>
  <si>
    <t xml:space="preserve">Photo: </t>
  </si>
  <si>
    <t>04 Hackathon - Hub Updates</t>
  </si>
  <si>
    <t>Acceptance Messages are missing</t>
  </si>
  <si>
    <t>Please Add the Email Draft Link directly into the "(x)"</t>
  </si>
  <si>
    <t xml:space="preserve">Goal: </t>
  </si>
  <si>
    <t>Optimistic</t>
  </si>
  <si>
    <t>Pessimistic</t>
  </si>
  <si>
    <t>E-Mail</t>
  </si>
  <si>
    <t>Get returning participants</t>
  </si>
  <si>
    <t>Hackathon 1,2,3, 4</t>
  </si>
  <si>
    <t>Get winners from previous hackathons</t>
  </si>
  <si>
    <t>Manual?</t>
  </si>
  <si>
    <t>Automated?</t>
  </si>
  <si>
    <t>Get strong network across top 10 schools</t>
  </si>
  <si>
    <t>Round 1: Feb 20</t>
  </si>
  <si>
    <t>Round 2: Mar 6</t>
  </si>
  <si>
    <t>Round 3: Mar 18</t>
  </si>
  <si>
    <t>Round 4: Mar 28</t>
  </si>
  <si>
    <t>Referral only</t>
  </si>
  <si>
    <t>Round 5: Apr 11</t>
  </si>
  <si>
    <t>Round 6 (Only Hub Waitlist): Apr 17</t>
  </si>
  <si>
    <t>Event: April 25</t>
  </si>
  <si>
    <t>Maureen Derequito</t>
  </si>
  <si>
    <t>borcelismaureengrace@gmail.com</t>
  </si>
  <si>
    <t>Mohit</t>
  </si>
  <si>
    <t>mohitnandanwar29@gmail.com</t>
  </si>
  <si>
    <t>Lead</t>
  </si>
  <si>
    <t>Link</t>
  </si>
  <si>
    <t>Design requirement</t>
  </si>
  <si>
    <t>Deadline in 5 days for round 01</t>
  </si>
  <si>
    <t xml:space="preserve">Are you an early bird? </t>
  </si>
  <si>
    <t>Posted</t>
  </si>
  <si>
    <t xml:space="preserve"> Week 1.mp4</t>
  </si>
  <si>
    <t>This week's challenge</t>
  </si>
  <si>
    <t>Mohit Nandanwar</t>
  </si>
  <si>
    <t>Please meet your Participant</t>
  </si>
  <si>
    <t>Alejandro</t>
  </si>
  <si>
    <t>https://www.canva.com/design/DAHCzAdhUyk/AFzRNtWlWYhok7J4l8AkEw/edit</t>
  </si>
  <si>
    <t>Please meet Natalie - Hackathon winner and AI builder in the Venture Lab</t>
  </si>
  <si>
    <t>Natalie</t>
  </si>
  <si>
    <t>posted</t>
  </si>
  <si>
    <t>Two days until round 01 deadline</t>
  </si>
  <si>
    <t>Bernando</t>
  </si>
  <si>
    <t>Approved</t>
  </si>
  <si>
    <t>Winner's of the Hack-Nation VC Big Bet Track</t>
  </si>
  <si>
    <t>1 day before</t>
  </si>
  <si>
    <t>Apply by tonight</t>
  </si>
  <si>
    <t>For approval</t>
  </si>
  <si>
    <t>Please use a face, pick any you like, just not Linn: https://drive.google.com/drive/folders/1HneU2sXwPABOHqN31zCyoPYadwtF7Cxe</t>
  </si>
  <si>
    <t>🚀 Week 1 in the Hack-Nation Venture Lab — and the builders are already moving fast.
29 teams entered the Venture Lab after emerging from our global AI hackathon. In just a few days we’ve seen pivots, patents, pilots, and serious customer conversations.
Here are three standout achievements from Week 1:
🏆 a11y — Real government traction
“Had our first demo with a government agency! Booked the follow-up for mid-March — and signing our first pilot next week with a government vendor.”
🏆 Bevell (formerly AeroCraft) — Deep technical pivot
“Pivoted our approach and rebuilt from scratch — now the product works directly inside CAD software (Fusion360).”
🏆 Doppio Labs — Patent + investor momentum
“Set up calls with hedge funds for mom tests, submitted our provisional patent, and started investor conversations with Fidelity Labs.”
And the rest of the Week 1 builder cohort pushing forward:
2Neurons • a11y • Bevell • AutoShop • Chief • Cinnamon Rolls • Debt Vulture • DoomDo • Doppio Labs • Easybuy • Eliot • Fands AI • Fox • Gatos • GRIT (Geographical Risk Insurance Tool) • Lumi • MBAn Underdogs • MeridianAI • NEO • Parity • PrestoAI • Rainbow Intelligence • SignCall • Spine • The Company Brain • This Name Was Generated by AI • CampusReply • Upwind • YetiX
Across the cohort we’re already seeing:
⚡ Customer traction — government demos, enterprise validation with IBM Infrastructure, early conversations with Ciena
⚡ Technical progress — photonic simulation frameworks, AI operating systems, CAD-native AI tools
⚡ Ecosystem momentum — Snowflake &amp; Microsoft meetings, Mozilla Add-ons verification, office space at AI Factory Austria
All of this… in Week 1.
Next stop: Demo Day (March 28) and Investor Day (May 8).
The speed at which these teams are building is incredible.
#AI #Startups #VentureBuilding #HackNation #Entrepreneurship</t>
  </si>
  <si>
    <t>Please use pictures of the cohort</t>
  </si>
  <si>
    <t>Week 02 challenge</t>
  </si>
  <si>
    <t>Please meet Hope - Participant in the Venture Lab</t>
  </si>
  <si>
    <t>Hope Moussi</t>
  </si>
  <si>
    <t>approved</t>
  </si>
  <si>
    <t>Three learnings about OpenClaw</t>
  </si>
  <si>
    <t>What are you building with OpenClaw?
We’ve been experimenting with OpenClaw recently and it’s exciting to see how quickly the ecosystem around agentic AI is evolving.
A few things that stood out to me:
1️⃣ The real power is connecting models to tools
Browsers, APIs, repos — orchestration is becoming the core layer.
2️⃣ Agents are becoming operational
We’re moving beyond demos to systems that actually execute tasks.
3️⃣ Open ecosystems accelerate innovation
The pace of iteration in open communities is incredible.
Curious to learn from others building in this space.
What are you building with OpenClaw right now?
#AI #AIAgents #OpenSource #AIbuilders</t>
  </si>
  <si>
    <t>New Hub Announcement</t>
  </si>
  <si>
    <t>🇩🇪 Dresden is joining the Global AI Hackathon network.
Excited to welcome Dresden as a new hub for the Global AI Hackathon (April 25–26) — hosted together with YETI.
Dresden is rapidly emerging as one of Europe’s most exciting deep tech and semiconductor ecosystems, with incredible talent across AI, robotics, and chip design.
Builders in the region will join 1000 AI engineers across 70+ countries, working for 24 hours on real AI challenges.
Grateful to the YETI team for helping bring the hackathon to Saxony.
If you’re in Dresden or nearby — come build with us.
🚀 Apply here: www.hack-nation.ai
#AI #Hackathon #Dresden #DeepTech #HackNation #AIbuilders</t>
  </si>
  <si>
    <t>Please meet</t>
  </si>
  <si>
    <t xml:space="preserve">What were the challenge tracks? </t>
  </si>
  <si>
    <t>💡 What are “Challenge Tracks” in the Global AI Hackathon?
Many hackathons ask teams to build anything.
We take a different approach.
At the Global AI Hackathon, teams build within Challenge Tracks — clearly defined real-world problem areas proposed by companies, research labs, and organizations.
Each track includes:
• a real problem statement
• APIs, data, or tools teams can use
• evaluation criteria for judging
• prizes or follow-on opportunities
This structure helps 1000 AI builders across 70+ countries focus their energy on solving meaningful problems in just 24 hours.
Typical tracks include areas like:
🤖 Robotics
🏥 Healthcare AI
🧠 Multimodal AI
🗣 Voice AI
⚙️ AI Agents
The goal is simple:
turn hackathons from coding competitions into real innovation labs.
Some of the most promising teams then continue building their projects in the Hack-Nation Venture Lab.
#AI #Hackathon #Innovation #Startups #AIbuilders</t>
  </si>
  <si>
    <t>Challenge 03 annoucment</t>
  </si>
  <si>
    <t>1 week till next application deadline</t>
  </si>
  <si>
    <t>Please use a face</t>
  </si>
  <si>
    <t>Did you know?</t>
  </si>
  <si>
    <t>🚀 Did you know Cursor started as a hackathon project at MIT?
A few years ago, a small group of builders experimented with a new idea during a hackathon:
What if AI could fundamentally change how developers write code?
What started as a prototype eventually became Cursor — now one of the fastest-growing AI developer tools used by engineers around the world.
It’s a powerful reminder that hackathons are not just competitions.
They are places where:
• new product ideas are tested
• teams form around bold visions
• the first versions of future companies get built
That’s exactly the spirit behind the Global AI Hackathon.
On April 25–26, we’re bringing together 1000 AI builders across 70+ countries for 24 hours to build ambitious AI systems — across areas like robotics, healthcare AI, voice AI, and autonomous agents.
Who knows — the next breakout AI company might start there.
🚀 Apply here:
www.hack-nation.ai
#AI #Hackathon #Startups #Innovation #AIbuilders</t>
  </si>
  <si>
    <t>Application deadline hackathon - Don't miss out</t>
  </si>
  <si>
    <t>Reminder - application deadline on March 22</t>
  </si>
  <si>
    <t>Where does the hackathon take place</t>
  </si>
  <si>
    <t>🌍 Where does the Global AI Hackathon take place?
The answer is: everywhere — at the same time.
The Global AI Hackathon (April 25–26) runs with a global + local format:
Global:
1000 AI builders from 70+ countries collaborate online, attend the same talks, work on the same challenge tracks, and pitch to the same global jury.
Local:
At the same time, builders can join physical hubs hosted by universities and communities — for example at MIT, Stanford, ETH Zurich, Oxford, Munich, and Dresden.
This creates a unique dynamic:
🌍 global collaboration
🤝 local builder communities
🚀 Apply here: www.hack-nation.ai
#AI #Hackathon #GlobalAI #AIbuilders</t>
  </si>
  <si>
    <t>March 28 will be the demo day of the Venture lab</t>
  </si>
  <si>
    <t>Two days till demo day</t>
  </si>
  <si>
    <t>Demo day goes live</t>
  </si>
  <si>
    <t>Impressions from the demo day</t>
  </si>
  <si>
    <t>How do you qualify for the venture lab? You participate in the hackathon and can qualify</t>
  </si>
  <si>
    <t>6 days till deadline</t>
  </si>
  <si>
    <t>2 days, then referrals only</t>
  </si>
  <si>
    <t>OMG - Don't miss out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</si>
</sst>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quot; &quot;d&quot;, &quot;yyyy"/>
    <numFmt numFmtId="165" formatCode="M/d/yyyy H:mm:ss"/>
    <numFmt numFmtId="166" formatCode="mmm dd, yyyy"/>
    <numFmt numFmtId="167" formatCode="yyyy/mm/dd"/>
    <numFmt numFmtId="168" formatCode="mmm d"/>
    <numFmt numFmtId="169" formatCode="mmm dd"/>
    <numFmt numFmtId="170" formatCode="mmmm d"/>
  </numFmts>
  <fonts count="33">
    <font>
      <sz val="10.0"/>
      <color rgb="FF000000"/>
      <name val="Arial"/>
      <scheme val="minor"/>
    </font>
    <font>
      <b/>
      <sz val="18.0"/>
      <color rgb="FFFFFFFF"/>
      <name val="Arial"/>
    </font>
    <font>
      <b/>
      <color rgb="FFFFFFFF"/>
      <name val="Arial"/>
    </font>
    <font>
      <color theme="1"/>
      <name val="Arial"/>
    </font>
    <font>
      <sz val="9.0"/>
      <color rgb="FF000000"/>
      <name val="Arial"/>
    </font>
    <font>
      <b/>
      <sz val="8.0"/>
      <color theme="1"/>
      <name val="Arial"/>
    </font>
    <font>
      <sz val="8.0"/>
      <color theme="1"/>
      <name val="Arial"/>
    </font>
    <font>
      <b/>
      <sz val="15.0"/>
      <color rgb="FF6E6F73"/>
      <name val="Arial"/>
    </font>
    <font>
      <b/>
      <color rgb="FF6E6F73"/>
      <name val="Arial"/>
    </font>
    <font>
      <b/>
      <color theme="1"/>
      <name val="Arial"/>
      <scheme val="minor"/>
    </font>
    <font>
      <color theme="1"/>
      <name val="Arial"/>
      <scheme val="minor"/>
    </font>
    <font>
      <b/>
      <i/>
      <color theme="1"/>
      <name val="Arial"/>
      <scheme val="minor"/>
    </font>
    <font/>
    <font>
      <u/>
      <color theme="1"/>
      <name val="Arial"/>
      <scheme val="minor"/>
    </font>
    <font>
      <u/>
      <color theme="1"/>
      <name val="Arial"/>
      <scheme val="minor"/>
    </font>
    <font>
      <u/>
      <color theme="1"/>
      <name val="Arial"/>
      <scheme val="minor"/>
    </font>
    <font>
      <i/>
      <color theme="1"/>
      <name val="Arial"/>
      <scheme val="minor"/>
    </font>
    <font>
      <u/>
      <color theme="1"/>
      <name val="Arial"/>
      <scheme val="minor"/>
    </font>
    <font>
      <b/>
      <u/>
      <color theme="1"/>
      <name val="Arial"/>
      <scheme val="minor"/>
    </font>
    <font>
      <b/>
      <u/>
      <color theme="1"/>
      <name val="Arial"/>
      <scheme val="minor"/>
    </font>
    <font>
      <i/>
      <color rgb="FF980000"/>
      <name val="Arial"/>
      <scheme val="minor"/>
    </font>
    <font>
      <b/>
      <u/>
      <color theme="1"/>
      <name val="Arial"/>
      <scheme val="minor"/>
    </font>
    <font>
      <b/>
      <u/>
      <color rgb="FF0000FF"/>
    </font>
    <font>
      <u/>
      <color theme="1"/>
      <name val="Arial"/>
      <scheme val="minor"/>
    </font>
    <font>
      <b/>
      <color rgb="FFFF9900"/>
      <name val="Arial"/>
      <scheme val="minor"/>
    </font>
    <font>
      <b/>
      <color rgb="FFFF0000"/>
      <name val="Arial"/>
      <scheme val="minor"/>
    </font>
    <font>
      <b/>
      <color rgb="FF9900FF"/>
      <name val="Arial"/>
      <scheme val="minor"/>
    </font>
    <font>
      <sz val="9.0"/>
      <color rgb="FF444746"/>
      <name val="&quot;Google Sans Text&quot;"/>
    </font>
    <font>
      <strike/>
      <color theme="1"/>
      <name val="Arial"/>
      <scheme val="minor"/>
    </font>
    <font>
      <u/>
      <color theme="1"/>
      <name val="Arial"/>
      <scheme val="minor"/>
    </font>
    <font>
      <u/>
      <color rgb="FF0000FF"/>
    </font>
    <font>
      <u/>
      <color rgb="FF0000FF"/>
    </font>
    <font>
      <i/>
      <strike/>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FFF2CC"/>
        <bgColor rgb="FFFFF2CC"/>
      </patternFill>
    </fill>
    <fill>
      <patternFill patternType="solid">
        <fgColor rgb="FFB7B7B7"/>
        <bgColor rgb="FFB7B7B7"/>
      </patternFill>
    </fill>
    <fill>
      <patternFill patternType="solid">
        <fgColor rgb="FFCCCCCC"/>
        <bgColor rgb="FFCCCCCC"/>
      </patternFill>
    </fill>
    <fill>
      <patternFill patternType="solid">
        <fgColor rgb="FFCFE2F3"/>
        <bgColor rgb="FFCFE2F3"/>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00FF00"/>
        <bgColor rgb="FF00FF00"/>
      </patternFill>
    </fill>
    <fill>
      <patternFill patternType="solid">
        <fgColor rgb="FFF3F3F3"/>
        <bgColor rgb="FFF3F3F3"/>
      </patternFill>
    </fill>
    <fill>
      <patternFill patternType="solid">
        <fgColor rgb="FFD9EAD3"/>
        <bgColor rgb="FFD9EAD3"/>
      </patternFill>
    </fill>
    <fill>
      <patternFill patternType="solid">
        <fgColor rgb="FFFF0000"/>
        <bgColor rgb="FFFF0000"/>
      </patternFill>
    </fill>
    <fill>
      <patternFill patternType="solid">
        <fgColor rgb="FF00FFFF"/>
        <bgColor rgb="FF00FFFF"/>
      </patternFill>
    </fill>
    <fill>
      <patternFill patternType="solid">
        <fgColor rgb="FFB7E1CD"/>
        <bgColor rgb="FFB7E1CD"/>
      </patternFill>
    </fill>
    <fill>
      <patternFill patternType="solid">
        <fgColor rgb="FFB4A7D6"/>
        <bgColor rgb="FFB4A7D6"/>
      </patternFill>
    </fill>
    <fill>
      <patternFill patternType="solid">
        <fgColor rgb="FFC27BA0"/>
        <bgColor rgb="FFC27BA0"/>
      </patternFill>
    </fill>
    <fill>
      <patternFill patternType="solid">
        <fgColor rgb="FF8C8C8C"/>
        <bgColor rgb="FF8C8C8C"/>
      </patternFill>
    </fill>
  </fills>
  <borders count="17">
    <border/>
    <border>
      <left style="thin">
        <color rgb="FF80808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2" fontId="1" numFmtId="0" xfId="0" applyAlignment="1" applyFill="1" applyFont="1">
      <alignment horizontal="left" shrinkToFit="0" wrapText="0"/>
    </xf>
    <xf borderId="0" fillId="2" fontId="2" numFmtId="0" xfId="0" applyAlignment="1" applyFont="1">
      <alignment horizontal="right" shrinkToFit="0" wrapText="0"/>
    </xf>
    <xf borderId="1" fillId="2" fontId="2" numFmtId="0" xfId="0" applyAlignment="1" applyBorder="1" applyFont="1">
      <alignment horizontal="right" shrinkToFit="0" wrapText="0"/>
    </xf>
    <xf borderId="0" fillId="2" fontId="3" numFmtId="0" xfId="0" applyAlignment="1" applyFont="1">
      <alignment shrinkToFit="0" vertical="bottom" wrapText="0"/>
    </xf>
    <xf borderId="0" fillId="0" fontId="4" numFmtId="0" xfId="0" applyAlignment="1" applyFont="1">
      <alignment horizontal="left" shrinkToFit="0" vertical="top" wrapText="0"/>
    </xf>
    <xf borderId="1" fillId="2" fontId="5" numFmtId="0" xfId="0" applyAlignment="1" applyBorder="1" applyFont="1">
      <alignment horizontal="left" readingOrder="0" shrinkToFit="0" wrapText="0"/>
    </xf>
    <xf borderId="0" fillId="0" fontId="4" numFmtId="0" xfId="0" applyAlignment="1" applyFont="1">
      <alignment shrinkToFit="0" vertical="bottom" wrapText="0"/>
    </xf>
    <xf borderId="1" fillId="2" fontId="6" numFmtId="0" xfId="0" applyAlignment="1" applyBorder="1" applyFont="1">
      <alignment horizontal="left" readingOrder="0" shrinkToFit="0" wrapText="0"/>
    </xf>
    <xf borderId="0" fillId="3" fontId="7" numFmtId="0" xfId="0" applyAlignment="1" applyFill="1" applyFont="1">
      <alignment horizontal="left" shrinkToFit="0" wrapText="0"/>
    </xf>
    <xf borderId="0" fillId="3" fontId="8" numFmtId="0" xfId="0" applyAlignment="1" applyFont="1">
      <alignment horizontal="right" shrinkToFit="0" wrapText="0"/>
    </xf>
    <xf borderId="0" fillId="3" fontId="8" numFmtId="0" xfId="0" applyAlignment="1" applyFont="1">
      <alignment horizontal="right" shrinkToFit="0" vertical="bottom" wrapText="0"/>
    </xf>
    <xf borderId="2" fillId="0" fontId="9" numFmtId="0" xfId="0" applyAlignment="1" applyBorder="1" applyFont="1">
      <alignment readingOrder="0"/>
    </xf>
    <xf borderId="3" fillId="0" fontId="10" numFmtId="0" xfId="0" applyAlignment="1" applyBorder="1" applyFont="1">
      <alignment readingOrder="0"/>
    </xf>
    <xf borderId="3" fillId="0" fontId="10" numFmtId="0" xfId="0" applyBorder="1" applyFont="1"/>
    <xf borderId="4" fillId="0" fontId="10" numFmtId="0" xfId="0" applyBorder="1" applyFont="1"/>
    <xf borderId="5" fillId="0" fontId="10" numFmtId="0" xfId="0" applyBorder="1" applyFont="1"/>
    <xf borderId="6" fillId="0" fontId="10" numFmtId="0" xfId="0" applyBorder="1" applyFont="1"/>
    <xf borderId="7" fillId="0" fontId="10" numFmtId="0" xfId="0" applyBorder="1" applyFont="1"/>
    <xf borderId="8" fillId="0" fontId="10" numFmtId="0" xfId="0" applyBorder="1" applyFont="1"/>
    <xf borderId="9" fillId="0" fontId="10" numFmtId="0" xfId="0" applyBorder="1" applyFont="1"/>
    <xf borderId="5" fillId="0" fontId="9" numFmtId="0" xfId="0" applyAlignment="1" applyBorder="1" applyFont="1">
      <alignment readingOrder="0"/>
    </xf>
    <xf borderId="0" fillId="0" fontId="10" numFmtId="0" xfId="0" applyAlignment="1" applyFont="1">
      <alignment readingOrder="0"/>
    </xf>
    <xf borderId="0" fillId="0" fontId="9" numFmtId="0" xfId="0" applyAlignment="1" applyFont="1">
      <alignment readingOrder="0"/>
    </xf>
    <xf borderId="10" fillId="0" fontId="9" numFmtId="0" xfId="0" applyAlignment="1" applyBorder="1" applyFont="1">
      <alignment readingOrder="0"/>
    </xf>
    <xf borderId="11" fillId="4" fontId="10" numFmtId="164" xfId="0" applyAlignment="1" applyBorder="1" applyFill="1" applyFont="1" applyNumberFormat="1">
      <alignment readingOrder="0"/>
    </xf>
    <xf borderId="2" fillId="5" fontId="9" numFmtId="0" xfId="0" applyAlignment="1" applyBorder="1" applyFill="1" applyFont="1">
      <alignment readingOrder="0"/>
    </xf>
    <xf borderId="3" fillId="5" fontId="9" numFmtId="0" xfId="0" applyAlignment="1" applyBorder="1" applyFont="1">
      <alignment readingOrder="0"/>
    </xf>
    <xf borderId="4" fillId="5" fontId="9" numFmtId="0" xfId="0" applyAlignment="1" applyBorder="1" applyFont="1">
      <alignment readingOrder="0"/>
    </xf>
    <xf borderId="5" fillId="0" fontId="10" numFmtId="0" xfId="0" applyAlignment="1" applyBorder="1" applyFont="1">
      <alignment readingOrder="0"/>
    </xf>
    <xf borderId="0" fillId="4" fontId="10" numFmtId="164" xfId="0" applyAlignment="1" applyFont="1" applyNumberFormat="1">
      <alignment readingOrder="0"/>
    </xf>
    <xf borderId="6" fillId="4" fontId="10" numFmtId="164" xfId="0" applyAlignment="1" applyBorder="1" applyFont="1" applyNumberFormat="1">
      <alignment readingOrder="0"/>
    </xf>
    <xf borderId="0" fillId="0" fontId="10" numFmtId="165" xfId="0" applyAlignment="1" applyFont="1" applyNumberFormat="1">
      <alignment readingOrder="0"/>
    </xf>
    <xf borderId="7" fillId="0" fontId="10" numFmtId="0" xfId="0" applyAlignment="1" applyBorder="1" applyFont="1">
      <alignment readingOrder="0"/>
    </xf>
    <xf borderId="8" fillId="4" fontId="10" numFmtId="164" xfId="0" applyAlignment="1" applyBorder="1" applyFont="1" applyNumberFormat="1">
      <alignment readingOrder="0"/>
    </xf>
    <xf borderId="9" fillId="4" fontId="10" numFmtId="164" xfId="0" applyAlignment="1" applyBorder="1" applyFont="1" applyNumberFormat="1">
      <alignment readingOrder="0"/>
    </xf>
    <xf borderId="11" fillId="4" fontId="10" numFmtId="164" xfId="0" applyBorder="1" applyFont="1" applyNumberFormat="1"/>
    <xf borderId="2" fillId="0" fontId="11" numFmtId="0" xfId="0" applyAlignment="1" applyBorder="1" applyFont="1">
      <alignment horizontal="center" readingOrder="0"/>
    </xf>
    <xf borderId="3" fillId="0" fontId="12" numFmtId="0" xfId="0" applyBorder="1" applyFont="1"/>
    <xf borderId="4" fillId="0" fontId="12" numFmtId="0" xfId="0" applyBorder="1" applyFont="1"/>
    <xf borderId="5" fillId="6" fontId="9" numFmtId="0" xfId="0" applyAlignment="1" applyBorder="1" applyFill="1" applyFont="1">
      <alignment readingOrder="0"/>
    </xf>
    <xf borderId="0" fillId="6" fontId="9" numFmtId="0" xfId="0" applyAlignment="1" applyFont="1">
      <alignment readingOrder="0"/>
    </xf>
    <xf borderId="6" fillId="6" fontId="9" numFmtId="0" xfId="0" applyAlignment="1" applyBorder="1" applyFont="1">
      <alignment readingOrder="0"/>
    </xf>
    <xf borderId="0" fillId="0" fontId="9" numFmtId="0" xfId="0" applyAlignment="1" applyFont="1">
      <alignment readingOrder="0" shrinkToFit="0" wrapText="1"/>
    </xf>
    <xf borderId="5" fillId="0" fontId="10" numFmtId="0" xfId="0" applyAlignment="1" applyBorder="1" applyFont="1">
      <alignment horizontal="right" readingOrder="0" vertical="top"/>
    </xf>
    <xf borderId="0" fillId="0" fontId="10" numFmtId="0" xfId="0" applyAlignment="1" applyFont="1">
      <alignment readingOrder="0" vertical="top"/>
    </xf>
    <xf borderId="0" fillId="0" fontId="10" numFmtId="0" xfId="0" applyAlignment="1" applyFont="1">
      <alignment readingOrder="0" shrinkToFit="0" vertical="top" wrapText="1"/>
    </xf>
    <xf borderId="0" fillId="0" fontId="10" numFmtId="0" xfId="0" applyAlignment="1" applyFont="1">
      <alignment vertical="top"/>
    </xf>
    <xf borderId="0" fillId="2" fontId="10" numFmtId="0" xfId="0" applyAlignment="1" applyFont="1">
      <alignment readingOrder="0" vertical="top"/>
    </xf>
    <xf borderId="0" fillId="0" fontId="10" numFmtId="164" xfId="0" applyAlignment="1" applyFont="1" applyNumberFormat="1">
      <alignment readingOrder="0" vertical="top"/>
    </xf>
    <xf borderId="0" fillId="2" fontId="10" numFmtId="164" xfId="0" applyAlignment="1" applyFont="1" applyNumberFormat="1">
      <alignment vertical="top"/>
    </xf>
    <xf borderId="0" fillId="0" fontId="10" numFmtId="164" xfId="0" applyAlignment="1" applyFont="1" applyNumberFormat="1">
      <alignment vertical="top"/>
    </xf>
    <xf borderId="6" fillId="0" fontId="10" numFmtId="164" xfId="0" applyAlignment="1" applyBorder="1" applyFont="1" applyNumberFormat="1">
      <alignment vertical="top"/>
    </xf>
    <xf borderId="5" fillId="0" fontId="10" numFmtId="0" xfId="0" applyAlignment="1" applyBorder="1" applyFont="1">
      <alignment readingOrder="0" vertical="top"/>
    </xf>
    <xf borderId="6" fillId="0" fontId="10" numFmtId="0" xfId="0" applyAlignment="1" applyBorder="1" applyFont="1">
      <alignment readingOrder="0" vertical="top"/>
    </xf>
    <xf borderId="6" fillId="0" fontId="10" numFmtId="164" xfId="0" applyAlignment="1" applyBorder="1" applyFont="1" applyNumberFormat="1">
      <alignment readingOrder="0" vertical="top"/>
    </xf>
    <xf borderId="0" fillId="0" fontId="10" numFmtId="166" xfId="0" applyAlignment="1" applyFont="1" applyNumberFormat="1">
      <alignment readingOrder="0" vertical="top"/>
    </xf>
    <xf borderId="0" fillId="0" fontId="10" numFmtId="164" xfId="0" applyAlignment="1" applyFont="1" applyNumberFormat="1">
      <alignment readingOrder="0" vertical="top"/>
    </xf>
    <xf borderId="6" fillId="0" fontId="10" numFmtId="164" xfId="0" applyAlignment="1" applyBorder="1" applyFont="1" applyNumberFormat="1">
      <alignment readingOrder="0" vertical="top"/>
    </xf>
    <xf borderId="8" fillId="0" fontId="10" numFmtId="0" xfId="0" applyAlignment="1" applyBorder="1" applyFont="1">
      <alignment readingOrder="0"/>
    </xf>
    <xf borderId="8" fillId="2" fontId="10" numFmtId="0" xfId="0" applyAlignment="1" applyBorder="1" applyFont="1">
      <alignment readingOrder="0" vertical="top"/>
    </xf>
    <xf borderId="8" fillId="0" fontId="10" numFmtId="0" xfId="0" applyAlignment="1" applyBorder="1" applyFont="1">
      <alignment readingOrder="0" vertical="top"/>
    </xf>
    <xf borderId="8" fillId="0" fontId="10" numFmtId="164" xfId="0" applyAlignment="1" applyBorder="1" applyFont="1" applyNumberFormat="1">
      <alignment readingOrder="0" vertical="top"/>
    </xf>
    <xf borderId="8" fillId="0" fontId="10" numFmtId="164" xfId="0" applyAlignment="1" applyBorder="1" applyFont="1" applyNumberFormat="1">
      <alignment vertical="top"/>
    </xf>
    <xf borderId="9" fillId="0" fontId="10" numFmtId="164" xfId="0" applyAlignment="1" applyBorder="1" applyFont="1" applyNumberFormat="1">
      <alignment vertical="top"/>
    </xf>
    <xf borderId="7" fillId="0" fontId="10" numFmtId="0" xfId="0" applyAlignment="1" applyBorder="1" applyFont="1">
      <alignment readingOrder="0" vertical="top"/>
    </xf>
    <xf borderId="9" fillId="0" fontId="10" numFmtId="0" xfId="0" applyAlignment="1" applyBorder="1" applyFont="1">
      <alignment readingOrder="0" vertical="top"/>
    </xf>
    <xf borderId="0" fillId="2" fontId="10" numFmtId="0" xfId="0" applyAlignment="1" applyFont="1">
      <alignment readingOrder="0"/>
    </xf>
    <xf borderId="0" fillId="2" fontId="10" numFmtId="0" xfId="0" applyFont="1"/>
    <xf borderId="2" fillId="6" fontId="9" numFmtId="0" xfId="0" applyAlignment="1" applyBorder="1" applyFont="1">
      <alignment horizontal="center" readingOrder="0"/>
    </xf>
    <xf borderId="12" fillId="0" fontId="9" numFmtId="0" xfId="0" applyAlignment="1" applyBorder="1" applyFont="1">
      <alignment readingOrder="0"/>
    </xf>
    <xf borderId="6" fillId="0" fontId="10" numFmtId="0" xfId="0" applyAlignment="1" applyBorder="1" applyFont="1">
      <alignment readingOrder="0"/>
    </xf>
    <xf borderId="13" fillId="0" fontId="10" numFmtId="0" xfId="0" applyAlignment="1" applyBorder="1" applyFont="1">
      <alignment readingOrder="0"/>
    </xf>
    <xf borderId="14" fillId="0" fontId="10" numFmtId="0" xfId="0" applyAlignment="1" applyBorder="1" applyFont="1">
      <alignment readingOrder="0"/>
    </xf>
    <xf borderId="0" fillId="7" fontId="9" numFmtId="0" xfId="0" applyAlignment="1" applyFill="1" applyFont="1">
      <alignment readingOrder="0" shrinkToFit="0" wrapText="1"/>
    </xf>
    <xf borderId="0" fillId="4" fontId="9"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shrinkToFit="0" wrapText="1"/>
    </xf>
    <xf borderId="0" fillId="0" fontId="10" numFmtId="167" xfId="0" applyAlignment="1" applyFont="1" applyNumberFormat="1">
      <alignment readingOrder="0"/>
    </xf>
    <xf borderId="3" fillId="0" fontId="9" numFmtId="0" xfId="0" applyAlignment="1" applyBorder="1" applyFont="1">
      <alignment readingOrder="0"/>
    </xf>
    <xf borderId="3" fillId="0" fontId="13" numFmtId="0" xfId="0" applyAlignment="1" applyBorder="1" applyFont="1">
      <alignment readingOrder="0"/>
    </xf>
    <xf borderId="3" fillId="8" fontId="10" numFmtId="0" xfId="0" applyAlignment="1" applyBorder="1" applyFill="1" applyFont="1">
      <alignment readingOrder="0"/>
    </xf>
    <xf borderId="0" fillId="0" fontId="14" numFmtId="0" xfId="0" applyAlignment="1" applyFont="1">
      <alignment readingOrder="0"/>
    </xf>
    <xf borderId="0" fillId="8" fontId="10" numFmtId="0" xfId="0" applyAlignment="1" applyFont="1">
      <alignment readingOrder="0"/>
    </xf>
    <xf borderId="0" fillId="9" fontId="10" numFmtId="0" xfId="0" applyAlignment="1" applyFill="1" applyFont="1">
      <alignment readingOrder="0"/>
    </xf>
    <xf borderId="0" fillId="10" fontId="15" numFmtId="0" xfId="0" applyAlignment="1" applyFill="1" applyFont="1">
      <alignment readingOrder="0"/>
    </xf>
    <xf borderId="0" fillId="11" fontId="10" numFmtId="0" xfId="0" applyAlignment="1" applyFill="1" applyFont="1">
      <alignment readingOrder="0"/>
    </xf>
    <xf borderId="0" fillId="10" fontId="16" numFmtId="0" xfId="0" applyAlignment="1" applyFont="1">
      <alignment readingOrder="0"/>
    </xf>
    <xf borderId="8" fillId="10" fontId="17" numFmtId="0" xfId="0" applyAlignment="1" applyBorder="1" applyFont="1">
      <alignment readingOrder="0"/>
    </xf>
    <xf borderId="8" fillId="9" fontId="10" numFmtId="0" xfId="0" applyAlignment="1" applyBorder="1" applyFont="1">
      <alignment readingOrder="0"/>
    </xf>
    <xf borderId="0" fillId="0" fontId="18" numFmtId="0" xfId="0" applyAlignment="1" applyFont="1">
      <alignment readingOrder="0"/>
    </xf>
    <xf borderId="0" fillId="7" fontId="9" numFmtId="0" xfId="0" applyAlignment="1" applyFont="1">
      <alignment readingOrder="0"/>
    </xf>
    <xf borderId="0" fillId="4" fontId="9" numFmtId="0" xfId="0" applyAlignment="1" applyFont="1">
      <alignment readingOrder="0"/>
    </xf>
    <xf borderId="0" fillId="0" fontId="9" numFmtId="168" xfId="0" applyAlignment="1" applyFont="1" applyNumberFormat="1">
      <alignment readingOrder="0"/>
    </xf>
    <xf borderId="0" fillId="12" fontId="19" numFmtId="0" xfId="0" applyAlignment="1" applyFill="1" applyFont="1">
      <alignment readingOrder="0"/>
    </xf>
    <xf borderId="0" fillId="12" fontId="10" numFmtId="0" xfId="0" applyFont="1"/>
    <xf borderId="0" fillId="0" fontId="20" numFmtId="0" xfId="0" applyAlignment="1" applyFont="1">
      <alignment readingOrder="0"/>
    </xf>
    <xf borderId="0" fillId="8" fontId="21" numFmtId="0" xfId="0" applyAlignment="1" applyFont="1">
      <alignment readingOrder="0"/>
    </xf>
    <xf borderId="0" fillId="8" fontId="10" numFmtId="0" xfId="0" applyFont="1"/>
    <xf borderId="8" fillId="0" fontId="9" numFmtId="0" xfId="0" applyAlignment="1" applyBorder="1" applyFont="1">
      <alignment readingOrder="0"/>
    </xf>
    <xf borderId="8" fillId="7" fontId="9" numFmtId="0" xfId="0" applyAlignment="1" applyBorder="1" applyFont="1">
      <alignment readingOrder="0"/>
    </xf>
    <xf borderId="8" fillId="4" fontId="9" numFmtId="0" xfId="0" applyAlignment="1" applyBorder="1" applyFont="1">
      <alignment readingOrder="0"/>
    </xf>
    <xf borderId="0" fillId="13" fontId="10" numFmtId="0" xfId="0" applyAlignment="1" applyFill="1" applyFont="1">
      <alignment readingOrder="0"/>
    </xf>
    <xf borderId="0" fillId="10" fontId="10" numFmtId="0" xfId="0" applyAlignment="1" applyFont="1">
      <alignment readingOrder="0"/>
    </xf>
    <xf borderId="0" fillId="0" fontId="3" numFmtId="0" xfId="0" applyAlignment="1" applyFont="1">
      <alignment horizontal="right" vertical="bottom"/>
    </xf>
    <xf borderId="8" fillId="0" fontId="3" numFmtId="0" xfId="0" applyAlignment="1" applyBorder="1" applyFont="1">
      <alignment vertical="bottom"/>
    </xf>
    <xf borderId="0" fillId="14" fontId="10" numFmtId="0" xfId="0" applyAlignment="1" applyFill="1" applyFont="1">
      <alignment readingOrder="0"/>
    </xf>
    <xf borderId="0" fillId="0" fontId="10" numFmtId="168" xfId="0" applyAlignment="1" applyFont="1" applyNumberFormat="1">
      <alignment readingOrder="0"/>
    </xf>
    <xf borderId="15" fillId="0" fontId="9" numFmtId="0" xfId="0" applyAlignment="1" applyBorder="1" applyFont="1">
      <alignment readingOrder="0"/>
    </xf>
    <xf borderId="16" fillId="0" fontId="9" numFmtId="0" xfId="0" applyAlignment="1" applyBorder="1" applyFont="1">
      <alignment readingOrder="0"/>
    </xf>
    <xf borderId="16" fillId="0" fontId="22" numFmtId="0" xfId="0" applyAlignment="1" applyBorder="1" applyFont="1">
      <alignment readingOrder="0" shrinkToFit="0" wrapText="1"/>
    </xf>
    <xf borderId="16" fillId="10" fontId="9" numFmtId="0" xfId="0" applyAlignment="1" applyBorder="1" applyFont="1">
      <alignment readingOrder="0"/>
    </xf>
    <xf borderId="11" fillId="0" fontId="9" numFmtId="0" xfId="0" applyAlignment="1" applyBorder="1" applyFont="1">
      <alignment readingOrder="0"/>
    </xf>
    <xf borderId="16" fillId="2" fontId="9" numFmtId="0" xfId="0" applyAlignment="1" applyBorder="1" applyFont="1">
      <alignment readingOrder="0"/>
    </xf>
    <xf borderId="12" fillId="11" fontId="10" numFmtId="0" xfId="0" applyAlignment="1" applyBorder="1" applyFont="1">
      <alignment readingOrder="0"/>
    </xf>
    <xf borderId="13" fillId="0" fontId="10" numFmtId="168" xfId="0" applyAlignment="1" applyBorder="1" applyFont="1" applyNumberFormat="1">
      <alignment horizontal="left" readingOrder="0"/>
    </xf>
    <xf borderId="8" fillId="0" fontId="10" numFmtId="0" xfId="0" applyAlignment="1" applyBorder="1" applyFont="1">
      <alignment shrinkToFit="0" wrapText="1"/>
    </xf>
    <xf borderId="8" fillId="10" fontId="10" numFmtId="0" xfId="0" applyBorder="1" applyFont="1"/>
    <xf borderId="8" fillId="2" fontId="10" numFmtId="0" xfId="0" applyBorder="1" applyFont="1"/>
    <xf borderId="12" fillId="0" fontId="10" numFmtId="0" xfId="0" applyAlignment="1" applyBorder="1" applyFont="1">
      <alignment readingOrder="0"/>
    </xf>
    <xf borderId="3" fillId="10" fontId="10" numFmtId="0" xfId="0" applyBorder="1" applyFont="1"/>
    <xf borderId="16" fillId="0" fontId="10" numFmtId="0" xfId="0" applyAlignment="1" applyBorder="1" applyFont="1">
      <alignment readingOrder="0"/>
    </xf>
    <xf borderId="3" fillId="2" fontId="10" numFmtId="0" xfId="0" applyBorder="1" applyFont="1"/>
    <xf borderId="13" fillId="4" fontId="10" numFmtId="0" xfId="0" applyAlignment="1" applyBorder="1" applyFont="1">
      <alignment readingOrder="0"/>
    </xf>
    <xf borderId="0" fillId="4" fontId="10" numFmtId="0" xfId="0" applyAlignment="1" applyFont="1">
      <alignment readingOrder="0"/>
    </xf>
    <xf borderId="0" fillId="10" fontId="10" numFmtId="0" xfId="0" applyFont="1"/>
    <xf borderId="6" fillId="4" fontId="10" numFmtId="0" xfId="0" applyAlignment="1" applyBorder="1" applyFont="1">
      <alignment readingOrder="0"/>
    </xf>
    <xf borderId="13" fillId="0" fontId="10" numFmtId="169" xfId="0" applyAlignment="1" applyBorder="1" applyFont="1" applyNumberFormat="1">
      <alignment horizontal="left" readingOrder="0"/>
    </xf>
    <xf borderId="13" fillId="4" fontId="10" numFmtId="169" xfId="0" applyAlignment="1" applyBorder="1" applyFont="1" applyNumberFormat="1">
      <alignment horizontal="left" readingOrder="0"/>
    </xf>
    <xf borderId="13" fillId="0" fontId="10" numFmtId="0" xfId="0" applyAlignment="1" applyBorder="1" applyFont="1">
      <alignment horizontal="left" readingOrder="0"/>
    </xf>
    <xf borderId="15" fillId="11" fontId="10" numFmtId="0" xfId="0" applyAlignment="1" applyBorder="1" applyFont="1">
      <alignment readingOrder="0"/>
    </xf>
    <xf borderId="0" fillId="2" fontId="23" numFmtId="0" xfId="0" applyAlignment="1" applyFont="1">
      <alignment readingOrder="0"/>
    </xf>
    <xf borderId="2" fillId="0" fontId="10" numFmtId="0" xfId="0" applyBorder="1" applyFont="1"/>
    <xf borderId="0" fillId="0" fontId="9" numFmtId="0" xfId="0" applyAlignment="1" applyFont="1">
      <alignment shrinkToFit="0" wrapText="1"/>
    </xf>
    <xf borderId="0" fillId="10" fontId="9" numFmtId="0" xfId="0" applyFont="1"/>
    <xf borderId="0" fillId="0" fontId="24" numFmtId="0" xfId="0" applyAlignment="1" applyFont="1">
      <alignment readingOrder="0"/>
    </xf>
    <xf borderId="14" fillId="4" fontId="10" numFmtId="0" xfId="0" applyAlignment="1" applyBorder="1" applyFont="1">
      <alignment readingOrder="0"/>
    </xf>
    <xf borderId="7" fillId="14" fontId="10" numFmtId="0" xfId="0" applyAlignment="1" applyBorder="1" applyFont="1">
      <alignment readingOrder="0"/>
    </xf>
    <xf borderId="9" fillId="0" fontId="10" numFmtId="0" xfId="0" applyAlignment="1" applyBorder="1" applyFont="1">
      <alignment readingOrder="0"/>
    </xf>
    <xf borderId="13" fillId="4" fontId="10" numFmtId="168" xfId="0" applyAlignment="1" applyBorder="1" applyFont="1" applyNumberFormat="1">
      <alignment horizontal="left" readingOrder="0"/>
    </xf>
    <xf borderId="14" fillId="2" fontId="10" numFmtId="0" xfId="0" applyAlignment="1" applyBorder="1" applyFont="1">
      <alignment readingOrder="0"/>
    </xf>
    <xf borderId="12" fillId="15" fontId="10" numFmtId="0" xfId="0" applyAlignment="1" applyBorder="1" applyFill="1" applyFont="1">
      <alignment readingOrder="0"/>
    </xf>
    <xf borderId="0" fillId="16" fontId="3" numFmtId="0" xfId="0" applyAlignment="1" applyFill="1" applyFont="1">
      <alignment readingOrder="0" vertical="bottom"/>
    </xf>
    <xf borderId="8" fillId="0" fontId="10" numFmtId="0" xfId="0" applyAlignment="1" applyBorder="1" applyFont="1">
      <alignment readingOrder="0" shrinkToFit="0" wrapText="1"/>
    </xf>
    <xf borderId="8" fillId="10" fontId="10" numFmtId="0" xfId="0" applyAlignment="1" applyBorder="1" applyFont="1">
      <alignment readingOrder="0"/>
    </xf>
    <xf borderId="0" fillId="0" fontId="25" numFmtId="0" xfId="0" applyAlignment="1" applyFont="1">
      <alignment readingOrder="0"/>
    </xf>
    <xf borderId="0" fillId="17" fontId="10" numFmtId="0" xfId="0" applyAlignment="1" applyFill="1" applyFont="1">
      <alignment readingOrder="0"/>
    </xf>
    <xf borderId="0" fillId="18" fontId="10" numFmtId="0" xfId="0" applyAlignment="1" applyFill="1" applyFont="1">
      <alignment readingOrder="0"/>
    </xf>
    <xf borderId="0" fillId="0" fontId="26" numFmtId="0" xfId="0" applyAlignment="1" applyFont="1">
      <alignment readingOrder="0"/>
    </xf>
    <xf borderId="0" fillId="19" fontId="27" numFmtId="0" xfId="0" applyAlignment="1" applyFill="1" applyFont="1">
      <alignment readingOrder="0"/>
    </xf>
    <xf borderId="0" fillId="0" fontId="10" numFmtId="0" xfId="0" applyAlignment="1" applyFont="1">
      <alignment horizontal="left" readingOrder="0"/>
    </xf>
    <xf borderId="13" fillId="13" fontId="10" numFmtId="169" xfId="0" applyAlignment="1" applyBorder="1" applyFont="1" applyNumberFormat="1">
      <alignment horizontal="left" readingOrder="0"/>
    </xf>
    <xf borderId="0" fillId="13" fontId="28" numFmtId="0" xfId="0" applyAlignment="1" applyFont="1">
      <alignment readingOrder="0"/>
    </xf>
    <xf borderId="0" fillId="13" fontId="29" numFmtId="0" xfId="0" applyAlignment="1" applyFont="1">
      <alignment readingOrder="0"/>
    </xf>
    <xf borderId="14" fillId="13" fontId="28" numFmtId="169" xfId="0" applyAlignment="1" applyBorder="1" applyFont="1" applyNumberFormat="1">
      <alignment horizontal="left" readingOrder="0"/>
    </xf>
    <xf borderId="0" fillId="13" fontId="28" numFmtId="0" xfId="0" applyFont="1"/>
    <xf borderId="0" fillId="13" fontId="10" numFmtId="0" xfId="0" applyFont="1"/>
    <xf borderId="0" fillId="13" fontId="28" numFmtId="169" xfId="0" applyAlignment="1" applyFont="1" applyNumberFormat="1">
      <alignment horizontal="left" readingOrder="0"/>
    </xf>
    <xf borderId="0" fillId="13" fontId="30" numFmtId="0" xfId="0" applyAlignment="1" applyFont="1">
      <alignment readingOrder="0"/>
    </xf>
    <xf borderId="0" fillId="4" fontId="10" numFmtId="169" xfId="0" applyAlignment="1" applyFont="1" applyNumberFormat="1">
      <alignment horizontal="left" readingOrder="0"/>
    </xf>
    <xf borderId="0" fillId="0" fontId="31" numFmtId="0" xfId="0" applyAlignment="1" applyFont="1">
      <alignment readingOrder="0"/>
    </xf>
    <xf borderId="0" fillId="0" fontId="28" numFmtId="169" xfId="0" applyAlignment="1" applyFont="1" applyNumberFormat="1">
      <alignment horizontal="left" readingOrder="0"/>
    </xf>
    <xf borderId="0" fillId="0" fontId="28" numFmtId="0" xfId="0" applyAlignment="1" applyFont="1">
      <alignment readingOrder="0"/>
    </xf>
    <xf borderId="0" fillId="0" fontId="28" numFmtId="0" xfId="0" applyFont="1"/>
    <xf borderId="0" fillId="4" fontId="28" numFmtId="0" xfId="0" applyAlignment="1" applyFont="1">
      <alignment readingOrder="0"/>
    </xf>
    <xf borderId="0" fillId="0" fontId="32" numFmtId="0" xfId="0" applyAlignment="1" applyFont="1">
      <alignment readingOrder="0"/>
    </xf>
    <xf borderId="0" fillId="0" fontId="16" numFmtId="0" xfId="0" applyAlignment="1" applyFont="1">
      <alignment readingOrder="0"/>
    </xf>
    <xf borderId="0" fillId="0" fontId="10" numFmtId="169" xfId="0" applyAlignment="1" applyFont="1" applyNumberFormat="1">
      <alignment horizontal="left" readingOrder="0"/>
    </xf>
    <xf borderId="14" fillId="0" fontId="28" numFmtId="169" xfId="0" applyAlignment="1" applyBorder="1" applyFont="1" applyNumberFormat="1">
      <alignment horizontal="left" readingOrder="0"/>
    </xf>
    <xf borderId="0" fillId="0" fontId="10" numFmtId="170" xfId="0" applyAlignment="1" applyFont="1" applyNumberFormat="1">
      <alignment readingOrder="0"/>
    </xf>
    <xf borderId="0" fillId="0" fontId="10" numFmtId="170" xfId="0" applyAlignment="1" applyFont="1" applyNumberFormat="1">
      <alignment horizontal="left" readingOrder="0"/>
    </xf>
    <xf borderId="0" fillId="4" fontId="10" numFmtId="170" xfId="0" applyAlignment="1" applyFont="1" applyNumberFormat="1">
      <alignment horizontal="left" readingOrder="0"/>
    </xf>
    <xf borderId="0" fillId="4" fontId="10" numFmtId="0" xfId="0" applyFont="1"/>
    <xf borderId="0" fillId="0" fontId="10"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fb950249-9221-4ac0-a34b-dba0fe3682b4}">
    <Anchor>
      <Comment id="{c352d8b4-844c-4d11-8854-19cd8218e5a4}"/>
    </Anchor>
    <History>
      <Event time="2026-03-04T15:49:40.00" id="{aa4f2836-e4b7-4961-abb9-7684678888b0}">
        <Attribution userId="placeholder@email.com" userName="Linn Bieske" userProvider="google-sheets"/>
        <Anchor>
          <Comment id="{c352d8b4-844c-4d11-8854-19cd8218e5a4}"/>
        </Anchor>
        <Create/>
      </Event>
      <Event time="2026-03-04T15:49:40.00" id="{5250ff5a-39d6-4247-9129-96380c7620bd}">
        <Attribution userId="placeholder@email.com" userName="Linn Bieske" userProvider="google-sheets"/>
        <Anchor>
          <Comment id="{c352d8b4-844c-4d11-8854-19cd8218e5a4}"/>
        </Anchor>
        <Assign userId="noah.leon.rappl@gmail.com" userName="noah.leon.rappl@gmail.com" userProvider="google-sheets"/>
      </Event>
    </History>
  </Task>
  <Task id="{54e6b858-341e-4049-a6e6-9dae88a75339}">
    <Anchor>
      <Comment id="{9afcba85-4ddd-44a6-bf25-347f02046954}"/>
    </Anchor>
    <History>
      <Event time="2026-03-04T15:49:54.00" id="{a2d187e0-6023-4efc-a69b-05636703fcf5}">
        <Attribution userId="placeholder@email.com" userName="Linn Bieske" userProvider="google-sheets"/>
        <Anchor>
          <Comment id="{9afcba85-4ddd-44a6-bf25-347f02046954}"/>
        </Anchor>
        <Create/>
      </Event>
      <Event time="2026-03-04T15:49:54.00" id="{d679fe21-6284-4f08-8aae-28560b240c64}">
        <Attribution userId="placeholder@email.com" userName="Linn Bieske" userProvider="google-sheets"/>
        <Anchor>
          <Comment id="{9afcba85-4ddd-44a6-bf25-347f02046954}"/>
        </Anchor>
        <Assign userId="noah.leon.rappl@gmail.com" userName="noah.leon.rappl@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0</xdr:row>
      <xdr:rowOff>38100</xdr:rowOff>
    </xdr:from>
    <xdr:ext cx="685800"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0</xdr:row>
      <xdr:rowOff>38100</xdr:rowOff>
    </xdr:from>
    <xdr:ext cx="685800"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0</xdr:row>
      <xdr:rowOff>38100</xdr:rowOff>
    </xdr:from>
    <xdr:ext cx="685800"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285750</xdr:colOff>
      <xdr:row>9</xdr:row>
      <xdr:rowOff>47625</xdr:rowOff>
    </xdr:from>
    <xdr:ext cx="4638675" cy="2876550"/>
    <xdr:sp>
      <xdr:nvSpPr>
        <xdr:cNvPr id="3" name="Shape 3"/>
        <xdr:cNvSpPr/>
      </xdr:nvSpPr>
      <xdr:spPr>
        <a:xfrm>
          <a:off x="1783225" y="1753500"/>
          <a:ext cx="8024400" cy="49632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EITHER fill with a template that can be reused for future posts OR type NO if it doesnt fit the channel</a:t>
          </a:r>
          <a:endParaRPr sz="1400"/>
        </a:p>
        <a:p>
          <a:pPr indent="0" lvl="0" marL="0" rtl="0" algn="ctr">
            <a:spcBef>
              <a:spcPts val="0"/>
            </a:spcBef>
            <a:spcAft>
              <a:spcPts val="0"/>
            </a:spcAft>
            <a:buNone/>
          </a:pPr>
          <a:r>
            <a:t/>
          </a:r>
          <a:endParaRPr sz="1400"/>
        </a:p>
      </xdr:txBody>
    </xdr:sp>
    <xdr:clientData fLocksWithSheet="0"/>
  </xdr:oneCellAnchor>
  <xdr:oneCellAnchor>
    <xdr:from>
      <xdr:col>0</xdr:col>
      <xdr:colOff>390525</xdr:colOff>
      <xdr:row>0</xdr:row>
      <xdr:rowOff>38100</xdr:rowOff>
    </xdr:from>
    <xdr:ext cx="685800"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inn Bieske" id="{1c474d8c-6fc5-4d54-bf83-618b000fa40d}" providerId="google-sheets"/>
  <x18tc:person displayName="noah.leon.rappl@gmail.com" id="{ac6168af-509c-48d4-b319-f8cabde5c293}" userId="noah.leon.rappl@gmail.com" providerId="google-sheets"/>
  <x18tc:person displayName="Noah “N. R.” R." id="{a4de5a9a-907e-47d2-abbd-e59efb41e19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5" dT="2026-03-08T17:33:05.00" personId="{a4de5a9a-907e-47d2-abbd-e59efb41e196}" id="{962bde22-e8ca-4bc5-9c00-71339cf7129f}" done="0">
    <x18tc:text xml:space="preserve">Bulk but JUST to new accepted for specific round</x18tc:text>
  </x18tc:threadedComment>
  <x18tc:threadedComment ref="H25" dT="2026-03-08T19:47:58.00" personId="{1c474d8c-6fc5-4d54-bf83-618b000fa40d}" id="{0065a300-f701-4a03-a349-b947c6d605a7}" done="0">
    <x18tc:text xml:space="preserve">March</x18tc:text>
  </x18tc:threadedComment>
  <x18tc:threadedComment ref="I25" dT="2026-03-08T19:47:25.00" personId="{1c474d8c-6fc5-4d54-bf83-618b000fa40d}" id="{0746270a-4229-4806-a7fd-f00c3e3fff84}" done="0">
    <x18tc:text xml:space="preserve">will March 9</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 dT="2026-03-04T15:49:40.00" personId="{1c474d8c-6fc5-4d54-bf83-618b000fa40d}" id="{c352d8b4-844c-4d11-8854-19cd8218e5a4}" done="0">
    <x18tc:text xml:space="preserve">@noah.leon.rappl@gmail.com  pleas update
Assigned to noah.leon.rappl@gmail.com</x18tc:text>
    <x18tc:mentions>
      <x18tc:mention mentionpersonId="{ac6168af-509c-48d4-b319-f8cabde5c293}" mentionId="{6b9b7500-c260-4509-b1c8-98c20627c7d0}" startIndex="0" length="26"/>
    </x18tc:mentions>
  </x18tc:threadedComment>
  <x18tc:threadedComment ref="D1" dT="2026-03-04T15:49:54.00" personId="{1c474d8c-6fc5-4d54-bf83-618b000fa40d}" id="{9afcba85-4ddd-44a6-bf25-347f02046954}" done="0">
    <x18tc:text xml:space="preserve">@noah.leon.rappl@gmail.com
Assigned to noah.leon.rappl@gmail.com</x18tc:text>
    <x18tc:mentions>
      <x18tc:mention mentionpersonId="{ac6168af-509c-48d4-b319-f8cabde5c293}" mentionId="{fe01ffb3-ef34-4664-bcaf-08e7cee5349e}"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yxW02v3TrKH8e8uggi63WWFa8EEq2mFQ/edit" TargetMode="External"/><Relationship Id="rId2" Type="http://schemas.openxmlformats.org/officeDocument/2006/relationships/hyperlink" Target="https://docs.google.com/document/d/1950jSDaYRDXOacrWigT7GBvdL1VgFUz5/edit" TargetMode="External"/><Relationship Id="rId3" Type="http://schemas.openxmlformats.org/officeDocument/2006/relationships/hyperlink" Target="https://docs.google.com/document/d/1cbLwXVWVNUhYEvCrm5QZ9pTNx60Ry7vQ/edit" TargetMode="External"/><Relationship Id="rId4" Type="http://schemas.openxmlformats.org/officeDocument/2006/relationships/hyperlink" Target="https://docs.google.com/document/d/1QJOQT-EbONjSwjrfzyVu62aQu5pxLecIBWiheW-oYO0/edit?tab=t.0" TargetMode="External"/><Relationship Id="rId10" Type="http://schemas.openxmlformats.org/officeDocument/2006/relationships/drawing" Target="../drawings/drawing5.xml"/><Relationship Id="rId9" Type="http://schemas.openxmlformats.org/officeDocument/2006/relationships/hyperlink" Target="https://drive.google.com/open?id=1dD7iETqU218nXlyR3C_gWetJVnrB1pggydeuPvvzJWc&amp;usp=drive_copy" TargetMode="External"/><Relationship Id="rId5" Type="http://schemas.openxmlformats.org/officeDocument/2006/relationships/hyperlink" Target="https://drive.google.com/open?id=1ErT7uADpmE2yiGHKaMobgS178Ofz0Fbj&amp;usp=drive_copy" TargetMode="External"/><Relationship Id="rId6" Type="http://schemas.openxmlformats.org/officeDocument/2006/relationships/hyperlink" Target="https://drive.google.com/open?id=173GhGzLqDJ8JZzLqP67_t5_c4QEi5Rjz9rhBiB_g_8A&amp;usp=drive_copy" TargetMode="External"/><Relationship Id="rId7" Type="http://schemas.openxmlformats.org/officeDocument/2006/relationships/hyperlink" Target="https://docs.google.com/document/d/1CFo2hlVQRAxhPn4xi-U5dnztKVwTdptL/edit" TargetMode="External"/><Relationship Id="rId8" Type="http://schemas.openxmlformats.org/officeDocument/2006/relationships/hyperlink" Target="https://docs.google.com/document/d/1CFo2hlVQRAxhPn4xi-U5dnztKVwTdptL/edit"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docs.google.com/spreadsheets/d/1XZy-aqul25WS_S_WMQdYfml4Ssmoa_yopiWKN9PeeB8/edit?gid=0" TargetMode="External"/><Relationship Id="rId10" Type="http://schemas.openxmlformats.org/officeDocument/2006/relationships/hyperlink" Target="https://drive.google.com/open?id=1hRplJ6Vz7WU6pteyBqd23CEA1V6_TBW2xU2jPre07MA&amp;usp=drive_copy" TargetMode="External"/><Relationship Id="rId13" Type="http://schemas.openxmlformats.org/officeDocument/2006/relationships/hyperlink" Target="https://docs.google.com/document/d/1hRplJ6Vz7WU6pteyBqd23CEA1V6_TBW2xU2jPre07MA/edit?tab=t.0" TargetMode="External"/><Relationship Id="rId12" Type="http://schemas.openxmlformats.org/officeDocument/2006/relationships/hyperlink" Target="https://docs.google.com/document/d/1hRplJ6Vz7WU6pteyBqd23CEA1V6_TBW2xU2jPre07MA/edit?tab=t.0" TargetMode="External"/><Relationship Id="rId1" Type="http://schemas.openxmlformats.org/officeDocument/2006/relationships/hyperlink" Target="https://docs.google.com/document/d/1yxW02v3TrKH8e8uggi63WWFa8EEq2mFQ/edit" TargetMode="External"/><Relationship Id="rId2" Type="http://schemas.openxmlformats.org/officeDocument/2006/relationships/hyperlink" Target="https://docs.google.com/document/d/1950jSDaYRDXOacrWigT7GBvdL1VgFUz5/edit" TargetMode="External"/><Relationship Id="rId3" Type="http://schemas.openxmlformats.org/officeDocument/2006/relationships/hyperlink" Target="https://docs.google.com/document/d/1cbLwXVWVNUhYEvCrm5QZ9pTNx60Ry7vQ/edit" TargetMode="External"/><Relationship Id="rId4" Type="http://schemas.openxmlformats.org/officeDocument/2006/relationships/hyperlink" Target="https://docs.google.com/document/d/1QJOQT-EbONjSwjrfzyVu62aQu5pxLecIBWiheW-oYO0/edit?tab=t.0" TargetMode="External"/><Relationship Id="rId9" Type="http://schemas.openxmlformats.org/officeDocument/2006/relationships/hyperlink" Target="https://drive.google.com/open?id=1dD7iETqU218nXlyR3C_gWetJVnrB1pggydeuPvvzJWc&amp;usp=drive_copy" TargetMode="External"/><Relationship Id="rId14" Type="http://schemas.openxmlformats.org/officeDocument/2006/relationships/drawing" Target="../drawings/drawing6.xml"/><Relationship Id="rId5" Type="http://schemas.openxmlformats.org/officeDocument/2006/relationships/hyperlink" Target="https://drive.google.com/open?id=1ErT7uADpmE2yiGHKaMobgS178Ofz0Fbj&amp;usp=drive_copy" TargetMode="External"/><Relationship Id="rId6" Type="http://schemas.openxmlformats.org/officeDocument/2006/relationships/hyperlink" Target="https://drive.google.com/open?id=173GhGzLqDJ8JZzLqP67_t5_c4QEi5Rjz9rhBiB_g_8A&amp;usp=drive_copy" TargetMode="External"/><Relationship Id="rId7" Type="http://schemas.openxmlformats.org/officeDocument/2006/relationships/hyperlink" Target="https://docs.google.com/document/d/1CFo2hlVQRAxhPn4xi-U5dnztKVwTdptL/edit" TargetMode="External"/><Relationship Id="rId8" Type="http://schemas.openxmlformats.org/officeDocument/2006/relationships/hyperlink" Target="https://docs.google.com/document/d/1CFo2hlVQRAxhPn4xi-U5dnztKVwTdptL/edi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luma.com/event/manage/evt-jbjxFRsHeiDZY0X/blasts" TargetMode="External"/><Relationship Id="rId5" Type="http://schemas.openxmlformats.org/officeDocument/2006/relationships/hyperlink" Target="https://docs.google.com/document/d/173GhGzLqDJ8JZzLqP67_t5_c4QEi5Rjz9rhBiB_g_8A/edit?usp=sharing" TargetMode="External"/><Relationship Id="rId6" Type="http://schemas.openxmlformats.org/officeDocument/2006/relationships/hyperlink" Target="https://drive.google.com/drive/folders/1HneU2sXwPABOHqN31zCyoPYadwtF7Cxe" TargetMode="External"/><Relationship Id="rId7" Type="http://schemas.openxmlformats.org/officeDocument/2006/relationships/drawing" Target="../drawings/drawing8.xml"/><Relationship Id="rId8"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mailto:borcelismaureengrace@gmail.com" TargetMode="External"/><Relationship Id="rId10" Type="http://schemas.openxmlformats.org/officeDocument/2006/relationships/hyperlink" Target="https://drive.google.com/drive/folders/1HneU2sXwPABOHqN31zCyoPYadwtF7Cxe" TargetMode="External"/><Relationship Id="rId13" Type="http://schemas.openxmlformats.org/officeDocument/2006/relationships/hyperlink" Target="mailto:borcelismaureengrace@gmail.com" TargetMode="External"/><Relationship Id="rId12" Type="http://schemas.openxmlformats.org/officeDocument/2006/relationships/hyperlink" Target="mailto:borcelismaureengrace@gmail.com" TargetMode="External"/><Relationship Id="rId1" Type="http://schemas.openxmlformats.org/officeDocument/2006/relationships/hyperlink" Target="mailto:borcelismaureengrace@gmail.com" TargetMode="External"/><Relationship Id="rId2" Type="http://schemas.openxmlformats.org/officeDocument/2006/relationships/hyperlink" Target="https://drive.google.com/file/d/1wTN7CFW92oJeVX8QdWMVbeDRrLwYGJMR/view?usp=sharing" TargetMode="External"/><Relationship Id="rId3" Type="http://schemas.openxmlformats.org/officeDocument/2006/relationships/hyperlink" Target="mailto:mohitnandanwar29@gmail.com" TargetMode="External"/><Relationship Id="rId4" Type="http://schemas.openxmlformats.org/officeDocument/2006/relationships/hyperlink" Target="mailto:borcelismaureengrace@gmail.com" TargetMode="External"/><Relationship Id="rId9" Type="http://schemas.openxmlformats.org/officeDocument/2006/relationships/hyperlink" Target="https://www.canva.com/design/DAHCzAdhUyk/AFzRNtWlWYhok7J4l8AkEw/edit" TargetMode="External"/><Relationship Id="rId15" Type="http://schemas.openxmlformats.org/officeDocument/2006/relationships/hyperlink" Target="mailto:borcelismaureengrace@gmail.com" TargetMode="External"/><Relationship Id="rId14" Type="http://schemas.openxmlformats.org/officeDocument/2006/relationships/hyperlink" Target="mailto:mohitnandanwar29@gmail.com" TargetMode="External"/><Relationship Id="rId17" Type="http://schemas.openxmlformats.org/officeDocument/2006/relationships/hyperlink" Target="mailto:mohitnandanwar29@gmail.com" TargetMode="External"/><Relationship Id="rId16" Type="http://schemas.openxmlformats.org/officeDocument/2006/relationships/hyperlink" Target="https://www.canva.com/design/DAHCzAdhUyk/AFzRNtWlWYhok7J4l8AkEw/edit" TargetMode="External"/><Relationship Id="rId5" Type="http://schemas.openxmlformats.org/officeDocument/2006/relationships/hyperlink" Target="https://www.canva.com/design/DAHCzAdhUyk/AFzRNtWlWYhok7J4l8AkEw/edit" TargetMode="External"/><Relationship Id="rId6" Type="http://schemas.openxmlformats.org/officeDocument/2006/relationships/hyperlink" Target="mailto:borcelismaureengrace@gmail.com" TargetMode="External"/><Relationship Id="rId18" Type="http://schemas.openxmlformats.org/officeDocument/2006/relationships/drawing" Target="../drawings/drawing10.xml"/><Relationship Id="rId7" Type="http://schemas.openxmlformats.org/officeDocument/2006/relationships/hyperlink" Target="https://www.canva.com/design/DAHCzAdhUyk/AFzRNtWlWYhok7J4l8AkEw/edit" TargetMode="External"/><Relationship Id="rId8" Type="http://schemas.openxmlformats.org/officeDocument/2006/relationships/hyperlink" Target="mailto:borcelismaureengrace@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7.13"/>
  </cols>
  <sheetData>
    <row r="1">
      <c r="A1" s="1"/>
      <c r="B1" s="2"/>
      <c r="C1" s="3"/>
      <c r="D1" s="4"/>
      <c r="E1" s="2"/>
      <c r="F1" s="2"/>
      <c r="G1" s="2"/>
      <c r="H1" s="2"/>
      <c r="I1" s="2"/>
      <c r="J1" s="2"/>
      <c r="K1" s="2"/>
      <c r="L1" s="4"/>
    </row>
    <row r="2">
      <c r="A2" s="1"/>
      <c r="B2" s="5"/>
      <c r="C2" s="6" t="s">
        <v>0</v>
      </c>
      <c r="E2" s="2"/>
      <c r="F2" s="2"/>
      <c r="G2" s="2"/>
      <c r="H2" s="2"/>
      <c r="I2" s="2"/>
      <c r="J2" s="2"/>
      <c r="K2" s="2"/>
      <c r="L2" s="4"/>
    </row>
    <row r="3">
      <c r="A3" s="1"/>
      <c r="B3" s="7"/>
      <c r="C3" s="8" t="s">
        <v>1</v>
      </c>
      <c r="D3" s="4"/>
      <c r="E3" s="2"/>
      <c r="F3" s="2"/>
      <c r="G3" s="2"/>
      <c r="H3" s="2"/>
      <c r="I3" s="2"/>
      <c r="J3" s="2"/>
      <c r="K3" s="2"/>
      <c r="L3" s="4"/>
    </row>
    <row r="4">
      <c r="A4" s="1"/>
      <c r="B4" s="2"/>
      <c r="C4" s="3"/>
      <c r="D4" s="4"/>
      <c r="E4" s="2"/>
      <c r="F4" s="2"/>
      <c r="G4" s="2"/>
      <c r="H4" s="2"/>
      <c r="I4" s="2"/>
      <c r="J4" s="2"/>
      <c r="K4" s="2"/>
      <c r="L4" s="4"/>
    </row>
    <row r="5">
      <c r="A5" s="9"/>
      <c r="B5" s="10"/>
      <c r="C5" s="11"/>
      <c r="D5" s="11"/>
      <c r="E5" s="11"/>
      <c r="F5" s="11"/>
      <c r="G5" s="11"/>
      <c r="H5" s="11"/>
      <c r="I5" s="11"/>
      <c r="J5" s="11"/>
      <c r="K5" s="11"/>
      <c r="L5" s="11"/>
      <c r="M5" s="11"/>
      <c r="N5" s="11"/>
      <c r="O5" s="11"/>
      <c r="P5" s="11"/>
      <c r="Q5" s="11"/>
      <c r="R5" s="11"/>
      <c r="S5" s="11"/>
      <c r="T5" s="11"/>
      <c r="U5" s="11"/>
      <c r="V5" s="11"/>
      <c r="W5" s="11"/>
      <c r="X5" s="11"/>
    </row>
    <row r="8">
      <c r="B8" s="12" t="s">
        <v>2</v>
      </c>
      <c r="C8" s="13" t="s">
        <v>3</v>
      </c>
      <c r="D8" s="14"/>
      <c r="E8" s="14"/>
      <c r="F8" s="14"/>
      <c r="G8" s="14"/>
      <c r="H8" s="15"/>
    </row>
    <row r="9">
      <c r="B9" s="16"/>
      <c r="H9" s="17"/>
    </row>
    <row r="10">
      <c r="B10" s="16"/>
      <c r="H10" s="17"/>
    </row>
    <row r="11">
      <c r="B11" s="16"/>
      <c r="H11" s="17"/>
    </row>
    <row r="12">
      <c r="B12" s="16"/>
      <c r="H12" s="17"/>
    </row>
    <row r="13">
      <c r="B13" s="16"/>
      <c r="H13" s="17"/>
    </row>
    <row r="14">
      <c r="B14" s="16"/>
      <c r="H14" s="17"/>
    </row>
    <row r="15">
      <c r="B15" s="18"/>
      <c r="C15" s="19"/>
      <c r="D15" s="19"/>
      <c r="E15" s="19"/>
      <c r="F15" s="19"/>
      <c r="G15" s="19"/>
      <c r="H15" s="20"/>
    </row>
    <row r="17">
      <c r="B17" s="12" t="s">
        <v>1</v>
      </c>
      <c r="C17" s="13" t="s">
        <v>4</v>
      </c>
      <c r="D17" s="14"/>
      <c r="E17" s="14"/>
      <c r="F17" s="14"/>
      <c r="G17" s="14"/>
      <c r="H17" s="15"/>
    </row>
    <row r="18">
      <c r="B18" s="21" t="s">
        <v>5</v>
      </c>
      <c r="C18" s="22" t="s">
        <v>6</v>
      </c>
      <c r="H18" s="17"/>
    </row>
    <row r="19">
      <c r="B19" s="21" t="s">
        <v>7</v>
      </c>
      <c r="C19" s="22" t="s">
        <v>8</v>
      </c>
      <c r="H19" s="17"/>
    </row>
    <row r="20">
      <c r="B20" s="21" t="s">
        <v>9</v>
      </c>
      <c r="C20" s="22" t="s">
        <v>10</v>
      </c>
      <c r="H20" s="17"/>
    </row>
    <row r="21">
      <c r="B21" s="16"/>
      <c r="H21" s="17"/>
    </row>
    <row r="22">
      <c r="B22" s="16"/>
      <c r="H22" s="17"/>
    </row>
    <row r="23">
      <c r="B23" s="16"/>
      <c r="H23" s="17"/>
    </row>
    <row r="24">
      <c r="B24" s="18"/>
      <c r="C24" s="19"/>
      <c r="D24" s="19"/>
      <c r="E24" s="19"/>
      <c r="F24" s="19"/>
      <c r="G24" s="19"/>
      <c r="H24" s="20"/>
    </row>
  </sheetData>
  <mergeCells count="1">
    <mergeCell ref="C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5.13"/>
  </cols>
  <sheetData>
    <row r="1">
      <c r="A1" s="1"/>
      <c r="B1" s="2"/>
      <c r="C1" s="3"/>
      <c r="D1" s="4"/>
      <c r="E1" s="2"/>
      <c r="F1" s="2"/>
      <c r="G1" s="2"/>
      <c r="H1" s="2"/>
      <c r="I1" s="2"/>
      <c r="J1" s="2"/>
      <c r="K1" s="2"/>
      <c r="L1" s="4"/>
    </row>
    <row r="2">
      <c r="A2" s="1"/>
      <c r="B2" s="5"/>
      <c r="C2" s="6" t="s">
        <v>0</v>
      </c>
      <c r="E2" s="2"/>
      <c r="F2" s="2"/>
      <c r="G2" s="2"/>
      <c r="H2" s="2"/>
      <c r="I2" s="2"/>
      <c r="J2" s="2"/>
      <c r="K2" s="2"/>
      <c r="L2" s="4"/>
    </row>
    <row r="3">
      <c r="A3" s="1"/>
      <c r="B3" s="7"/>
      <c r="C3" s="8" t="s">
        <v>1</v>
      </c>
      <c r="D3" s="4"/>
      <c r="E3" s="2"/>
      <c r="F3" s="2"/>
      <c r="G3" s="2"/>
      <c r="H3" s="2"/>
      <c r="I3" s="2"/>
      <c r="J3" s="2"/>
      <c r="K3" s="2"/>
      <c r="L3" s="4"/>
    </row>
    <row r="4">
      <c r="A4" s="1"/>
      <c r="B4" s="2"/>
      <c r="C4" s="3"/>
      <c r="D4" s="4"/>
      <c r="E4" s="2"/>
      <c r="F4" s="2"/>
      <c r="G4" s="2"/>
      <c r="H4" s="2"/>
      <c r="I4" s="2"/>
      <c r="J4" s="2"/>
      <c r="K4" s="2"/>
      <c r="L4" s="4"/>
    </row>
    <row r="5">
      <c r="A5" s="9"/>
      <c r="B5" s="10"/>
      <c r="C5" s="11"/>
      <c r="D5" s="11"/>
      <c r="E5" s="11"/>
      <c r="F5" s="11"/>
      <c r="G5" s="11"/>
      <c r="H5" s="11"/>
      <c r="I5" s="11"/>
      <c r="J5" s="11"/>
      <c r="K5" s="11"/>
      <c r="L5" s="11"/>
      <c r="M5" s="11"/>
      <c r="N5" s="11"/>
      <c r="O5" s="11"/>
      <c r="P5" s="11"/>
      <c r="Q5" s="11"/>
      <c r="R5" s="11"/>
      <c r="S5" s="11"/>
      <c r="T5" s="11"/>
      <c r="U5" s="11"/>
      <c r="V5" s="11"/>
      <c r="W5" s="11"/>
      <c r="X5" s="11"/>
    </row>
    <row r="8">
      <c r="B8" s="23" t="s">
        <v>11</v>
      </c>
      <c r="C8" s="22"/>
    </row>
    <row r="17">
      <c r="B17" s="23"/>
      <c r="C17" s="22"/>
    </row>
    <row r="18">
      <c r="B18" s="23"/>
    </row>
    <row r="19">
      <c r="B19" s="23"/>
    </row>
    <row r="21">
      <c r="B21" s="23" t="s">
        <v>12</v>
      </c>
    </row>
  </sheetData>
  <mergeCells count="1">
    <mergeCell ref="C2:D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5.13"/>
    <col customWidth="1" min="3" max="3" width="18.88"/>
    <col customWidth="1" min="4" max="4" width="28.63"/>
    <col customWidth="1" min="6" max="7" width="19.75"/>
    <col customWidth="1" min="15" max="17" width="14.38"/>
    <col customWidth="1" min="25" max="25" width="14.75"/>
  </cols>
  <sheetData>
    <row r="1">
      <c r="A1" s="22" t="s">
        <v>13</v>
      </c>
      <c r="B1" s="2"/>
      <c r="C1" s="3"/>
      <c r="D1" s="4"/>
      <c r="E1" s="2"/>
      <c r="F1" s="2"/>
      <c r="G1" s="2"/>
      <c r="H1" s="2"/>
      <c r="I1" s="2"/>
      <c r="J1" s="2"/>
      <c r="K1" s="2"/>
      <c r="L1" s="2"/>
      <c r="M1" s="4"/>
    </row>
    <row r="2">
      <c r="A2" s="1"/>
      <c r="B2" s="5"/>
      <c r="C2" s="6" t="s">
        <v>0</v>
      </c>
      <c r="E2" s="2"/>
      <c r="F2" s="2"/>
      <c r="G2" s="2"/>
      <c r="H2" s="2"/>
      <c r="I2" s="2"/>
      <c r="J2" s="2"/>
      <c r="K2" s="2"/>
      <c r="L2" s="2"/>
      <c r="M2" s="4"/>
    </row>
    <row r="3">
      <c r="A3" s="1"/>
      <c r="B3" s="7"/>
      <c r="C3" s="8" t="s">
        <v>1</v>
      </c>
      <c r="D3" s="4"/>
      <c r="E3" s="2"/>
      <c r="F3" s="2"/>
      <c r="G3" s="2"/>
      <c r="H3" s="2"/>
      <c r="I3" s="2"/>
      <c r="J3" s="2"/>
      <c r="K3" s="2"/>
      <c r="L3" s="2"/>
      <c r="M3" s="4"/>
    </row>
    <row r="4">
      <c r="A4" s="1"/>
      <c r="B4" s="2"/>
      <c r="C4" s="3"/>
      <c r="D4" s="4"/>
      <c r="E4" s="2"/>
      <c r="F4" s="2"/>
      <c r="G4" s="2"/>
      <c r="H4" s="2"/>
      <c r="I4" s="2"/>
      <c r="J4" s="2"/>
      <c r="K4" s="2"/>
      <c r="L4" s="2"/>
      <c r="M4" s="4"/>
    </row>
    <row r="5">
      <c r="A5" s="9"/>
      <c r="B5" s="10"/>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row>
    <row r="8">
      <c r="B8" s="24" t="s">
        <v>14</v>
      </c>
      <c r="C8" s="25">
        <v>46137.0</v>
      </c>
    </row>
    <row r="10">
      <c r="B10" s="26" t="s">
        <v>15</v>
      </c>
      <c r="C10" s="27" t="s">
        <v>16</v>
      </c>
      <c r="D10" s="28" t="s">
        <v>17</v>
      </c>
    </row>
    <row r="11">
      <c r="B11" s="29" t="s">
        <v>18</v>
      </c>
      <c r="C11" s="30">
        <v>46073.0</v>
      </c>
      <c r="D11" s="31">
        <f t="shared" ref="D11:D15" si="1">C11+7</f>
        <v>46080</v>
      </c>
      <c r="F11" s="32"/>
      <c r="G11" s="32"/>
    </row>
    <row r="12">
      <c r="B12" s="29" t="s">
        <v>19</v>
      </c>
      <c r="C12" s="30">
        <v>46087.0</v>
      </c>
      <c r="D12" s="31">
        <f t="shared" si="1"/>
        <v>46094</v>
      </c>
    </row>
    <row r="13">
      <c r="B13" s="29" t="s">
        <v>20</v>
      </c>
      <c r="C13" s="30">
        <v>46099.0</v>
      </c>
      <c r="D13" s="31">
        <f t="shared" si="1"/>
        <v>46106</v>
      </c>
    </row>
    <row r="14">
      <c r="B14" s="29" t="s">
        <v>21</v>
      </c>
      <c r="C14" s="30">
        <v>46109.0</v>
      </c>
      <c r="D14" s="31">
        <f t="shared" si="1"/>
        <v>46116</v>
      </c>
    </row>
    <row r="15">
      <c r="B15" s="29" t="s">
        <v>22</v>
      </c>
      <c r="C15" s="30">
        <v>46123.0</v>
      </c>
      <c r="D15" s="31">
        <f t="shared" si="1"/>
        <v>46130</v>
      </c>
    </row>
    <row r="16">
      <c r="B16" s="33" t="s">
        <v>23</v>
      </c>
      <c r="C16" s="34">
        <v>46129.0</v>
      </c>
      <c r="D16" s="35">
        <f>C16+2</f>
        <v>46131</v>
      </c>
    </row>
    <row r="17">
      <c r="B17" s="23"/>
    </row>
    <row r="18">
      <c r="B18" s="24" t="s">
        <v>24</v>
      </c>
      <c r="C18" s="36">
        <f>D14+6</f>
        <v>46122</v>
      </c>
    </row>
    <row r="19">
      <c r="B19" s="23"/>
    </row>
    <row r="21">
      <c r="B21" s="12" t="s">
        <v>25</v>
      </c>
      <c r="C21" s="14"/>
      <c r="D21" s="14"/>
      <c r="E21" s="14"/>
      <c r="F21" s="14"/>
      <c r="G21" s="14"/>
      <c r="H21" s="14"/>
      <c r="I21" s="14"/>
      <c r="J21" s="14"/>
      <c r="K21" s="14"/>
      <c r="L21" s="14"/>
      <c r="M21" s="15"/>
      <c r="N21" s="37" t="s">
        <v>26</v>
      </c>
      <c r="O21" s="38"/>
      <c r="P21" s="38"/>
      <c r="Q21" s="38"/>
      <c r="R21" s="38"/>
      <c r="S21" s="38"/>
      <c r="T21" s="38"/>
      <c r="U21" s="38"/>
      <c r="V21" s="38"/>
      <c r="W21" s="38"/>
      <c r="X21" s="38"/>
      <c r="Y21" s="38"/>
      <c r="Z21" s="39"/>
    </row>
    <row r="22">
      <c r="B22" s="40" t="s">
        <v>27</v>
      </c>
      <c r="C22" s="41" t="s">
        <v>28</v>
      </c>
      <c r="D22" s="41" t="s">
        <v>29</v>
      </c>
      <c r="E22" s="41" t="s">
        <v>30</v>
      </c>
      <c r="F22" s="41" t="s">
        <v>31</v>
      </c>
      <c r="G22" s="41" t="s">
        <v>32</v>
      </c>
      <c r="H22" s="41" t="s">
        <v>33</v>
      </c>
      <c r="I22" s="41" t="s">
        <v>34</v>
      </c>
      <c r="J22" s="41" t="s">
        <v>35</v>
      </c>
      <c r="K22" s="41" t="s">
        <v>36</v>
      </c>
      <c r="L22" s="41" t="s">
        <v>37</v>
      </c>
      <c r="M22" s="42" t="s">
        <v>38</v>
      </c>
      <c r="N22" s="40" t="s">
        <v>39</v>
      </c>
      <c r="O22" s="41" t="s">
        <v>40</v>
      </c>
      <c r="P22" s="41" t="s">
        <v>41</v>
      </c>
      <c r="Q22" s="41" t="s">
        <v>42</v>
      </c>
      <c r="R22" s="41" t="s">
        <v>43</v>
      </c>
      <c r="S22" s="41" t="s">
        <v>44</v>
      </c>
      <c r="T22" s="41" t="s">
        <v>45</v>
      </c>
      <c r="U22" s="41" t="s">
        <v>46</v>
      </c>
      <c r="V22" s="41" t="s">
        <v>47</v>
      </c>
      <c r="W22" s="41" t="s">
        <v>48</v>
      </c>
      <c r="X22" s="41" t="s">
        <v>49</v>
      </c>
      <c r="Y22" s="41" t="s">
        <v>50</v>
      </c>
      <c r="Z22" s="42" t="s">
        <v>51</v>
      </c>
      <c r="AD22" s="43"/>
    </row>
    <row r="23">
      <c r="B23" s="44" t="s">
        <v>52</v>
      </c>
      <c r="C23" s="45" t="s">
        <v>53</v>
      </c>
      <c r="D23" s="46" t="s">
        <v>54</v>
      </c>
      <c r="E23" s="47"/>
      <c r="F23" s="48" t="s">
        <v>55</v>
      </c>
      <c r="G23" s="45" t="s">
        <v>56</v>
      </c>
      <c r="H23" s="49">
        <f>D11</f>
        <v>46080</v>
      </c>
      <c r="I23" s="50">
        <f>D12</f>
        <v>46094</v>
      </c>
      <c r="J23" s="51">
        <f>D13</f>
        <v>46106</v>
      </c>
      <c r="K23" s="51">
        <f>D14</f>
        <v>46116</v>
      </c>
      <c r="L23" s="51">
        <f>D15</f>
        <v>46130</v>
      </c>
      <c r="M23" s="52">
        <f>D16</f>
        <v>46131</v>
      </c>
      <c r="N23" s="53" t="s">
        <v>57</v>
      </c>
      <c r="O23" s="45" t="s">
        <v>58</v>
      </c>
      <c r="P23" s="45" t="s">
        <v>58</v>
      </c>
      <c r="Q23" s="45" t="s">
        <v>57</v>
      </c>
      <c r="R23" s="45" t="s">
        <v>57</v>
      </c>
      <c r="S23" s="45" t="s">
        <v>57</v>
      </c>
      <c r="T23" s="45" t="s">
        <v>57</v>
      </c>
      <c r="U23" s="45" t="s">
        <v>57</v>
      </c>
      <c r="V23" s="45" t="s">
        <v>58</v>
      </c>
      <c r="W23" s="45" t="s">
        <v>58</v>
      </c>
      <c r="X23" s="45" t="s">
        <v>58</v>
      </c>
      <c r="Y23" s="45" t="s">
        <v>58</v>
      </c>
      <c r="Z23" s="54" t="s">
        <v>58</v>
      </c>
    </row>
    <row r="24">
      <c r="B24" s="44" t="s">
        <v>59</v>
      </c>
      <c r="C24" s="45" t="s">
        <v>60</v>
      </c>
      <c r="D24" s="45" t="s">
        <v>61</v>
      </c>
      <c r="E24" s="47"/>
      <c r="F24" s="48" t="s">
        <v>55</v>
      </c>
      <c r="G24" s="45" t="s">
        <v>62</v>
      </c>
      <c r="H24" s="49">
        <f t="shared" ref="H24:M24" si="2">H23</f>
        <v>46080</v>
      </c>
      <c r="I24" s="49">
        <f t="shared" si="2"/>
        <v>46094</v>
      </c>
      <c r="J24" s="49">
        <f t="shared" si="2"/>
        <v>46106</v>
      </c>
      <c r="K24" s="49">
        <f t="shared" si="2"/>
        <v>46116</v>
      </c>
      <c r="L24" s="49">
        <f t="shared" si="2"/>
        <v>46130</v>
      </c>
      <c r="M24" s="55">
        <f t="shared" si="2"/>
        <v>46131</v>
      </c>
      <c r="N24" s="53" t="s">
        <v>58</v>
      </c>
      <c r="O24" s="45" t="s">
        <v>58</v>
      </c>
      <c r="P24" s="45" t="s">
        <v>58</v>
      </c>
      <c r="Q24" s="45" t="s">
        <v>58</v>
      </c>
      <c r="R24" s="45" t="s">
        <v>58</v>
      </c>
      <c r="S24" s="45" t="s">
        <v>58</v>
      </c>
      <c r="T24" s="45" t="s">
        <v>58</v>
      </c>
      <c r="U24" s="45" t="s">
        <v>58</v>
      </c>
      <c r="V24" s="45" t="s">
        <v>58</v>
      </c>
      <c r="W24" s="45" t="s">
        <v>58</v>
      </c>
      <c r="X24" s="45" t="s">
        <v>58</v>
      </c>
      <c r="Y24" s="45" t="s">
        <v>58</v>
      </c>
      <c r="Z24" s="54" t="s">
        <v>58</v>
      </c>
    </row>
    <row r="25">
      <c r="B25" s="44">
        <v>2.0</v>
      </c>
      <c r="C25" s="45" t="s">
        <v>63</v>
      </c>
      <c r="D25" s="46" t="s">
        <v>64</v>
      </c>
      <c r="E25" s="47"/>
      <c r="F25" s="48" t="s">
        <v>65</v>
      </c>
      <c r="G25" s="45" t="s">
        <v>56</v>
      </c>
      <c r="H25" s="56">
        <f>H23</f>
        <v>46080</v>
      </c>
      <c r="I25" s="49">
        <f t="shared" ref="I25:M25" si="3">I24</f>
        <v>46094</v>
      </c>
      <c r="J25" s="49">
        <f t="shared" si="3"/>
        <v>46106</v>
      </c>
      <c r="K25" s="49">
        <f t="shared" si="3"/>
        <v>46116</v>
      </c>
      <c r="L25" s="49">
        <f t="shared" si="3"/>
        <v>46130</v>
      </c>
      <c r="M25" s="55">
        <f t="shared" si="3"/>
        <v>46131</v>
      </c>
      <c r="N25" s="53" t="s">
        <v>58</v>
      </c>
      <c r="O25" s="45" t="s">
        <v>58</v>
      </c>
      <c r="P25" s="45" t="s">
        <v>58</v>
      </c>
      <c r="Q25" s="45" t="s">
        <v>58</v>
      </c>
      <c r="R25" s="45" t="s">
        <v>58</v>
      </c>
      <c r="S25" s="45" t="s">
        <v>58</v>
      </c>
      <c r="T25" s="45" t="s">
        <v>58</v>
      </c>
      <c r="U25" s="45" t="s">
        <v>58</v>
      </c>
      <c r="V25" s="45" t="s">
        <v>58</v>
      </c>
      <c r="W25" s="45" t="s">
        <v>58</v>
      </c>
      <c r="X25" s="45" t="s">
        <v>58</v>
      </c>
      <c r="Y25" s="45" t="s">
        <v>58</v>
      </c>
      <c r="Z25" s="54" t="s">
        <v>58</v>
      </c>
    </row>
    <row r="26">
      <c r="B26" s="44">
        <v>3.0</v>
      </c>
      <c r="C26" s="45" t="s">
        <v>66</v>
      </c>
      <c r="D26" s="46" t="s">
        <v>67</v>
      </c>
      <c r="E26" s="47"/>
      <c r="F26" s="48" t="s">
        <v>65</v>
      </c>
      <c r="G26" s="45" t="s">
        <v>68</v>
      </c>
      <c r="H26" s="49">
        <f t="shared" ref="H26:K26" si="4">H24+5</f>
        <v>46085</v>
      </c>
      <c r="I26" s="49">
        <f t="shared" si="4"/>
        <v>46099</v>
      </c>
      <c r="J26" s="49">
        <f t="shared" si="4"/>
        <v>46111</v>
      </c>
      <c r="K26" s="49">
        <f t="shared" si="4"/>
        <v>46121</v>
      </c>
      <c r="L26" s="49">
        <f t="shared" ref="L26:M26" si="5">L24</f>
        <v>46130</v>
      </c>
      <c r="M26" s="55">
        <f t="shared" si="5"/>
        <v>46131</v>
      </c>
      <c r="N26" s="53" t="s">
        <v>57</v>
      </c>
      <c r="O26" s="45" t="s">
        <v>58</v>
      </c>
      <c r="P26" s="45" t="s">
        <v>58</v>
      </c>
      <c r="Q26" s="45" t="s">
        <v>58</v>
      </c>
      <c r="R26" s="45" t="s">
        <v>58</v>
      </c>
      <c r="S26" s="45" t="s">
        <v>58</v>
      </c>
      <c r="T26" s="45" t="s">
        <v>58</v>
      </c>
      <c r="U26" s="45" t="s">
        <v>58</v>
      </c>
      <c r="V26" s="45" t="s">
        <v>57</v>
      </c>
      <c r="W26" s="45" t="s">
        <v>58</v>
      </c>
      <c r="X26" s="45" t="s">
        <v>58</v>
      </c>
      <c r="Y26" s="45" t="s">
        <v>58</v>
      </c>
      <c r="Z26" s="54" t="s">
        <v>58</v>
      </c>
    </row>
    <row r="27">
      <c r="B27" s="44">
        <v>4.0</v>
      </c>
      <c r="C27" s="45" t="s">
        <v>69</v>
      </c>
      <c r="D27" s="45" t="s">
        <v>70</v>
      </c>
      <c r="E27" s="47"/>
      <c r="F27" s="48" t="s">
        <v>55</v>
      </c>
      <c r="G27" s="45" t="s">
        <v>68</v>
      </c>
      <c r="H27" s="57">
        <f t="shared" ref="H27:M27" si="6">iferror(IF((H26+10)&lt;$C$8,H26+10,"-"),"-")</f>
        <v>46095</v>
      </c>
      <c r="I27" s="57">
        <f t="shared" si="6"/>
        <v>46109</v>
      </c>
      <c r="J27" s="57">
        <f t="shared" si="6"/>
        <v>46121</v>
      </c>
      <c r="K27" s="57">
        <f t="shared" si="6"/>
        <v>46131</v>
      </c>
      <c r="L27" s="57" t="str">
        <f t="shared" si="6"/>
        <v>-</v>
      </c>
      <c r="M27" s="58" t="str">
        <f t="shared" si="6"/>
        <v>-</v>
      </c>
      <c r="N27" s="53" t="s">
        <v>58</v>
      </c>
      <c r="O27" s="45" t="s">
        <v>58</v>
      </c>
      <c r="P27" s="45" t="s">
        <v>58</v>
      </c>
      <c r="Q27" s="45" t="s">
        <v>58</v>
      </c>
      <c r="R27" s="45" t="s">
        <v>58</v>
      </c>
      <c r="S27" s="45" t="s">
        <v>58</v>
      </c>
      <c r="T27" s="45" t="s">
        <v>58</v>
      </c>
      <c r="U27" s="45" t="s">
        <v>58</v>
      </c>
      <c r="V27" s="45" t="s">
        <v>58</v>
      </c>
      <c r="W27" s="45" t="s">
        <v>57</v>
      </c>
      <c r="X27" s="45" t="s">
        <v>58</v>
      </c>
      <c r="Y27" s="45" t="s">
        <v>58</v>
      </c>
      <c r="Z27" s="54" t="s">
        <v>58</v>
      </c>
    </row>
    <row r="28">
      <c r="B28" s="44">
        <v>5.0</v>
      </c>
      <c r="C28" s="45" t="s">
        <v>49</v>
      </c>
      <c r="D28" s="45" t="s">
        <v>71</v>
      </c>
      <c r="E28" s="47"/>
      <c r="F28" s="48" t="s">
        <v>55</v>
      </c>
      <c r="G28" s="45" t="s">
        <v>68</v>
      </c>
      <c r="H28" s="57">
        <f t="shared" ref="H28:M28" si="7">iferror(IF((H27+10)&lt;$C$8,H27+10,"-"),"-")</f>
        <v>46105</v>
      </c>
      <c r="I28" s="57">
        <f t="shared" si="7"/>
        <v>46119</v>
      </c>
      <c r="J28" s="57">
        <f t="shared" si="7"/>
        <v>46131</v>
      </c>
      <c r="K28" s="57" t="str">
        <f t="shared" si="7"/>
        <v>-</v>
      </c>
      <c r="L28" s="57" t="str">
        <f t="shared" si="7"/>
        <v>-</v>
      </c>
      <c r="M28" s="58" t="str">
        <f t="shared" si="7"/>
        <v>-</v>
      </c>
      <c r="N28" s="53" t="s">
        <v>58</v>
      </c>
      <c r="O28" s="45" t="s">
        <v>58</v>
      </c>
      <c r="P28" s="45" t="s">
        <v>58</v>
      </c>
      <c r="Q28" s="45" t="s">
        <v>58</v>
      </c>
      <c r="R28" s="45" t="s">
        <v>58</v>
      </c>
      <c r="S28" s="45" t="s">
        <v>58</v>
      </c>
      <c r="T28" s="45" t="s">
        <v>58</v>
      </c>
      <c r="U28" s="45" t="s">
        <v>58</v>
      </c>
      <c r="V28" s="45" t="s">
        <v>58</v>
      </c>
      <c r="W28" s="45" t="s">
        <v>58</v>
      </c>
      <c r="X28" s="45" t="s">
        <v>57</v>
      </c>
      <c r="Y28" s="45" t="s">
        <v>58</v>
      </c>
      <c r="Z28" s="54" t="s">
        <v>58</v>
      </c>
    </row>
    <row r="29">
      <c r="B29" s="44" t="s">
        <v>72</v>
      </c>
      <c r="C29" s="45" t="s">
        <v>73</v>
      </c>
      <c r="D29" s="45" t="s">
        <v>74</v>
      </c>
      <c r="E29" s="47"/>
      <c r="F29" s="48" t="s">
        <v>65</v>
      </c>
      <c r="G29" s="45" t="s">
        <v>75</v>
      </c>
      <c r="H29" s="49">
        <f t="shared" ref="H29:M29" si="8">IF(H26&lt;$C$18,$C$18,"-")</f>
        <v>46122</v>
      </c>
      <c r="I29" s="49">
        <f t="shared" si="8"/>
        <v>46122</v>
      </c>
      <c r="J29" s="49">
        <f t="shared" si="8"/>
        <v>46122</v>
      </c>
      <c r="K29" s="49">
        <f t="shared" si="8"/>
        <v>46122</v>
      </c>
      <c r="L29" s="45" t="str">
        <f t="shared" si="8"/>
        <v>-</v>
      </c>
      <c r="M29" s="54" t="str">
        <f t="shared" si="8"/>
        <v>-</v>
      </c>
      <c r="N29" s="53" t="s">
        <v>58</v>
      </c>
      <c r="O29" s="45" t="s">
        <v>57</v>
      </c>
      <c r="P29" s="45" t="s">
        <v>58</v>
      </c>
      <c r="Q29" s="45" t="s">
        <v>58</v>
      </c>
      <c r="R29" s="45" t="s">
        <v>58</v>
      </c>
      <c r="S29" s="45" t="s">
        <v>58</v>
      </c>
      <c r="T29" s="45" t="s">
        <v>58</v>
      </c>
      <c r="U29" s="45" t="s">
        <v>58</v>
      </c>
      <c r="V29" s="45" t="s">
        <v>58</v>
      </c>
      <c r="W29" s="45" t="s">
        <v>58</v>
      </c>
      <c r="X29" s="45" t="s">
        <v>58</v>
      </c>
      <c r="Y29" s="45" t="s">
        <v>58</v>
      </c>
      <c r="Z29" s="54" t="s">
        <v>58</v>
      </c>
    </row>
    <row r="30">
      <c r="B30" s="44" t="s">
        <v>76</v>
      </c>
      <c r="C30" s="45" t="s">
        <v>77</v>
      </c>
      <c r="D30" s="45" t="s">
        <v>78</v>
      </c>
      <c r="E30" s="47"/>
      <c r="F30" s="48" t="s">
        <v>55</v>
      </c>
      <c r="G30" s="45" t="s">
        <v>79</v>
      </c>
      <c r="H30" s="49">
        <f t="shared" ref="H30:M30" si="9">IF(H29="-",H26,H29)</f>
        <v>46122</v>
      </c>
      <c r="I30" s="49">
        <f t="shared" si="9"/>
        <v>46122</v>
      </c>
      <c r="J30" s="49">
        <f t="shared" si="9"/>
        <v>46122</v>
      </c>
      <c r="K30" s="49">
        <f t="shared" si="9"/>
        <v>46122</v>
      </c>
      <c r="L30" s="49">
        <f t="shared" si="9"/>
        <v>46130</v>
      </c>
      <c r="M30" s="55">
        <f t="shared" si="9"/>
        <v>46131</v>
      </c>
      <c r="N30" s="53" t="s">
        <v>58</v>
      </c>
      <c r="O30" s="45" t="s">
        <v>58</v>
      </c>
      <c r="P30" s="45" t="s">
        <v>58</v>
      </c>
      <c r="Q30" s="45" t="s">
        <v>58</v>
      </c>
      <c r="R30" s="45" t="s">
        <v>58</v>
      </c>
      <c r="S30" s="45" t="s">
        <v>58</v>
      </c>
      <c r="T30" s="45" t="s">
        <v>58</v>
      </c>
      <c r="U30" s="45" t="s">
        <v>58</v>
      </c>
      <c r="V30" s="45" t="s">
        <v>58</v>
      </c>
      <c r="W30" s="45" t="s">
        <v>58</v>
      </c>
      <c r="X30" s="45" t="s">
        <v>58</v>
      </c>
      <c r="Y30" s="45" t="s">
        <v>58</v>
      </c>
      <c r="Z30" s="54" t="s">
        <v>58</v>
      </c>
    </row>
    <row r="31">
      <c r="B31" s="44">
        <v>7.0</v>
      </c>
      <c r="C31" s="45" t="s">
        <v>80</v>
      </c>
      <c r="D31" s="45" t="s">
        <v>81</v>
      </c>
      <c r="E31" s="47"/>
      <c r="F31" s="48" t="s">
        <v>65</v>
      </c>
      <c r="G31" s="45" t="s">
        <v>79</v>
      </c>
      <c r="H31" s="49">
        <f t="shared" ref="H31:M31" si="10">if($C$8-5&gt;H30,$C$8-5,"-")</f>
        <v>46132</v>
      </c>
      <c r="I31" s="49">
        <f t="shared" si="10"/>
        <v>46132</v>
      </c>
      <c r="J31" s="49">
        <f t="shared" si="10"/>
        <v>46132</v>
      </c>
      <c r="K31" s="49">
        <f t="shared" si="10"/>
        <v>46132</v>
      </c>
      <c r="L31" s="49">
        <f t="shared" si="10"/>
        <v>46132</v>
      </c>
      <c r="M31" s="55">
        <f t="shared" si="10"/>
        <v>46132</v>
      </c>
      <c r="N31" s="53" t="s">
        <v>58</v>
      </c>
      <c r="O31" s="45" t="s">
        <v>57</v>
      </c>
      <c r="P31" s="45" t="s">
        <v>58</v>
      </c>
      <c r="Q31" s="45" t="s">
        <v>58</v>
      </c>
      <c r="R31" s="45" t="s">
        <v>58</v>
      </c>
      <c r="S31" s="45" t="s">
        <v>58</v>
      </c>
      <c r="T31" s="45" t="s">
        <v>58</v>
      </c>
      <c r="U31" s="45" t="s">
        <v>58</v>
      </c>
      <c r="V31" s="45" t="s">
        <v>58</v>
      </c>
      <c r="W31" s="45" t="s">
        <v>58</v>
      </c>
      <c r="X31" s="45" t="s">
        <v>58</v>
      </c>
      <c r="Y31" s="45" t="s">
        <v>58</v>
      </c>
      <c r="Z31" s="54" t="s">
        <v>58</v>
      </c>
    </row>
    <row r="32">
      <c r="B32" s="29">
        <v>8.0</v>
      </c>
      <c r="C32" s="22" t="s">
        <v>82</v>
      </c>
      <c r="D32" s="22" t="s">
        <v>83</v>
      </c>
      <c r="F32" s="48" t="s">
        <v>55</v>
      </c>
      <c r="G32" s="45" t="s">
        <v>68</v>
      </c>
      <c r="H32" s="49">
        <f>C8-3</f>
        <v>46134</v>
      </c>
      <c r="I32" s="51">
        <f t="shared" ref="I32:M32" si="11">H32</f>
        <v>46134</v>
      </c>
      <c r="J32" s="51">
        <f t="shared" si="11"/>
        <v>46134</v>
      </c>
      <c r="K32" s="51">
        <f t="shared" si="11"/>
        <v>46134</v>
      </c>
      <c r="L32" s="51">
        <f t="shared" si="11"/>
        <v>46134</v>
      </c>
      <c r="M32" s="52">
        <f t="shared" si="11"/>
        <v>46134</v>
      </c>
      <c r="N32" s="53" t="s">
        <v>58</v>
      </c>
      <c r="O32" s="45" t="s">
        <v>58</v>
      </c>
      <c r="P32" s="45" t="s">
        <v>57</v>
      </c>
      <c r="Q32" s="45" t="s">
        <v>58</v>
      </c>
      <c r="R32" s="45" t="s">
        <v>58</v>
      </c>
      <c r="S32" s="45" t="s">
        <v>57</v>
      </c>
      <c r="T32" s="45" t="s">
        <v>57</v>
      </c>
      <c r="U32" s="45" t="s">
        <v>57</v>
      </c>
      <c r="V32" s="45" t="s">
        <v>58</v>
      </c>
      <c r="W32" s="45" t="s">
        <v>57</v>
      </c>
      <c r="X32" s="45" t="s">
        <v>57</v>
      </c>
      <c r="Y32" s="45" t="s">
        <v>58</v>
      </c>
      <c r="Z32" s="54" t="s">
        <v>58</v>
      </c>
    </row>
    <row r="33">
      <c r="B33" s="29">
        <v>9.0</v>
      </c>
      <c r="C33" s="22" t="s">
        <v>84</v>
      </c>
      <c r="D33" s="22" t="s">
        <v>85</v>
      </c>
      <c r="F33" s="48" t="s">
        <v>55</v>
      </c>
      <c r="G33" s="45" t="s">
        <v>68</v>
      </c>
      <c r="H33" s="49">
        <f>C8-1</f>
        <v>46136</v>
      </c>
      <c r="I33" s="51">
        <f t="shared" ref="I33:M33" si="12">H33</f>
        <v>46136</v>
      </c>
      <c r="J33" s="51">
        <f t="shared" si="12"/>
        <v>46136</v>
      </c>
      <c r="K33" s="51">
        <f t="shared" si="12"/>
        <v>46136</v>
      </c>
      <c r="L33" s="51">
        <f t="shared" si="12"/>
        <v>46136</v>
      </c>
      <c r="M33" s="52">
        <f t="shared" si="12"/>
        <v>46136</v>
      </c>
      <c r="N33" s="53" t="s">
        <v>58</v>
      </c>
      <c r="O33" s="45" t="s">
        <v>58</v>
      </c>
      <c r="P33" s="45" t="s">
        <v>57</v>
      </c>
      <c r="Q33" s="45" t="s">
        <v>58</v>
      </c>
      <c r="R33" s="45" t="s">
        <v>58</v>
      </c>
      <c r="S33" s="45" t="s">
        <v>58</v>
      </c>
      <c r="T33" s="45" t="s">
        <v>58</v>
      </c>
      <c r="U33" s="45" t="s">
        <v>58</v>
      </c>
      <c r="V33" s="45" t="s">
        <v>58</v>
      </c>
      <c r="W33" s="45" t="s">
        <v>58</v>
      </c>
      <c r="X33" s="45" t="s">
        <v>58</v>
      </c>
      <c r="Y33" s="45" t="s">
        <v>58</v>
      </c>
      <c r="Z33" s="54" t="s">
        <v>58</v>
      </c>
    </row>
    <row r="34">
      <c r="B34" s="29">
        <v>10.0</v>
      </c>
      <c r="C34" s="22" t="s">
        <v>86</v>
      </c>
      <c r="D34" s="22" t="s">
        <v>87</v>
      </c>
      <c r="F34" s="48" t="s">
        <v>55</v>
      </c>
      <c r="G34" s="45" t="s">
        <v>68</v>
      </c>
      <c r="H34" s="49">
        <f>C8+1</f>
        <v>46138</v>
      </c>
      <c r="I34" s="51">
        <f t="shared" ref="I34:M34" si="13">H34</f>
        <v>46138</v>
      </c>
      <c r="J34" s="51">
        <f t="shared" si="13"/>
        <v>46138</v>
      </c>
      <c r="K34" s="51">
        <f t="shared" si="13"/>
        <v>46138</v>
      </c>
      <c r="L34" s="51">
        <f t="shared" si="13"/>
        <v>46138</v>
      </c>
      <c r="M34" s="52">
        <f t="shared" si="13"/>
        <v>46138</v>
      </c>
      <c r="N34" s="53" t="s">
        <v>58</v>
      </c>
      <c r="O34" s="45" t="s">
        <v>58</v>
      </c>
      <c r="P34" s="45" t="s">
        <v>58</v>
      </c>
      <c r="Q34" s="45" t="s">
        <v>58</v>
      </c>
      <c r="R34" s="45" t="s">
        <v>58</v>
      </c>
      <c r="S34" s="45" t="s">
        <v>58</v>
      </c>
      <c r="T34" s="45" t="s">
        <v>58</v>
      </c>
      <c r="U34" s="45" t="s">
        <v>58</v>
      </c>
      <c r="V34" s="45" t="s">
        <v>58</v>
      </c>
      <c r="W34" s="45" t="s">
        <v>58</v>
      </c>
      <c r="X34" s="45" t="s">
        <v>58</v>
      </c>
      <c r="Y34" s="45" t="s">
        <v>58</v>
      </c>
      <c r="Z34" s="54" t="s">
        <v>58</v>
      </c>
    </row>
    <row r="35">
      <c r="B35" s="29">
        <v>11.0</v>
      </c>
      <c r="C35" s="22" t="s">
        <v>88</v>
      </c>
      <c r="D35" s="22" t="s">
        <v>89</v>
      </c>
      <c r="F35" s="48" t="s">
        <v>55</v>
      </c>
      <c r="G35" s="45" t="s">
        <v>68</v>
      </c>
      <c r="H35" s="49">
        <f t="shared" ref="H35:H37" si="15">H34</f>
        <v>46138</v>
      </c>
      <c r="I35" s="51">
        <f t="shared" ref="I35:M35" si="14">H35</f>
        <v>46138</v>
      </c>
      <c r="J35" s="51">
        <f t="shared" si="14"/>
        <v>46138</v>
      </c>
      <c r="K35" s="51">
        <f t="shared" si="14"/>
        <v>46138</v>
      </c>
      <c r="L35" s="51">
        <f t="shared" si="14"/>
        <v>46138</v>
      </c>
      <c r="M35" s="52">
        <f t="shared" si="14"/>
        <v>46138</v>
      </c>
      <c r="N35" s="53" t="s">
        <v>58</v>
      </c>
      <c r="O35" s="45" t="s">
        <v>58</v>
      </c>
      <c r="P35" s="45" t="s">
        <v>58</v>
      </c>
      <c r="Q35" s="45" t="s">
        <v>58</v>
      </c>
      <c r="R35" s="45" t="s">
        <v>58</v>
      </c>
      <c r="S35" s="45" t="s">
        <v>58</v>
      </c>
      <c r="T35" s="45" t="s">
        <v>58</v>
      </c>
      <c r="U35" s="45" t="s">
        <v>58</v>
      </c>
      <c r="V35" s="45" t="s">
        <v>58</v>
      </c>
      <c r="W35" s="45" t="s">
        <v>58</v>
      </c>
      <c r="X35" s="45" t="s">
        <v>58</v>
      </c>
      <c r="Y35" s="45" t="s">
        <v>58</v>
      </c>
      <c r="Z35" s="54" t="s">
        <v>58</v>
      </c>
    </row>
    <row r="36">
      <c r="B36" s="29">
        <v>12.0</v>
      </c>
      <c r="C36" s="22" t="s">
        <v>90</v>
      </c>
      <c r="D36" s="22" t="s">
        <v>91</v>
      </c>
      <c r="F36" s="48" t="s">
        <v>55</v>
      </c>
      <c r="G36" s="45" t="s">
        <v>68</v>
      </c>
      <c r="H36" s="49">
        <f t="shared" si="15"/>
        <v>46138</v>
      </c>
      <c r="I36" s="51">
        <f t="shared" ref="I36:M36" si="16">H36</f>
        <v>46138</v>
      </c>
      <c r="J36" s="51">
        <f t="shared" si="16"/>
        <v>46138</v>
      </c>
      <c r="K36" s="51">
        <f t="shared" si="16"/>
        <v>46138</v>
      </c>
      <c r="L36" s="51">
        <f t="shared" si="16"/>
        <v>46138</v>
      </c>
      <c r="M36" s="52">
        <f t="shared" si="16"/>
        <v>46138</v>
      </c>
      <c r="N36" s="53" t="s">
        <v>58</v>
      </c>
      <c r="O36" s="45" t="s">
        <v>58</v>
      </c>
      <c r="P36" s="45" t="s">
        <v>58</v>
      </c>
      <c r="Q36" s="45" t="s">
        <v>58</v>
      </c>
      <c r="R36" s="45" t="s">
        <v>58</v>
      </c>
      <c r="S36" s="45" t="s">
        <v>58</v>
      </c>
      <c r="T36" s="45" t="s">
        <v>58</v>
      </c>
      <c r="U36" s="45" t="s">
        <v>58</v>
      </c>
      <c r="V36" s="45" t="s">
        <v>58</v>
      </c>
      <c r="W36" s="45" t="s">
        <v>58</v>
      </c>
      <c r="X36" s="45" t="s">
        <v>58</v>
      </c>
      <c r="Y36" s="45" t="s">
        <v>57</v>
      </c>
      <c r="Z36" s="54" t="s">
        <v>58</v>
      </c>
    </row>
    <row r="37">
      <c r="B37" s="33">
        <v>13.0</v>
      </c>
      <c r="C37" s="59" t="s">
        <v>92</v>
      </c>
      <c r="D37" s="59" t="s">
        <v>93</v>
      </c>
      <c r="E37" s="19"/>
      <c r="F37" s="60" t="s">
        <v>65</v>
      </c>
      <c r="G37" s="61" t="s">
        <v>94</v>
      </c>
      <c r="H37" s="62">
        <f t="shared" si="15"/>
        <v>46138</v>
      </c>
      <c r="I37" s="63">
        <f t="shared" ref="I37:M37" si="17">H37</f>
        <v>46138</v>
      </c>
      <c r="J37" s="63">
        <f t="shared" si="17"/>
        <v>46138</v>
      </c>
      <c r="K37" s="63">
        <f t="shared" si="17"/>
        <v>46138</v>
      </c>
      <c r="L37" s="63">
        <f t="shared" si="17"/>
        <v>46138</v>
      </c>
      <c r="M37" s="64">
        <f t="shared" si="17"/>
        <v>46138</v>
      </c>
      <c r="N37" s="65" t="s">
        <v>58</v>
      </c>
      <c r="O37" s="61" t="s">
        <v>58</v>
      </c>
      <c r="P37" s="61" t="s">
        <v>58</v>
      </c>
      <c r="Q37" s="61" t="s">
        <v>58</v>
      </c>
      <c r="R37" s="61" t="s">
        <v>58</v>
      </c>
      <c r="S37" s="61" t="s">
        <v>58</v>
      </c>
      <c r="T37" s="61" t="s">
        <v>58</v>
      </c>
      <c r="U37" s="61" t="s">
        <v>58</v>
      </c>
      <c r="V37" s="61" t="s">
        <v>58</v>
      </c>
      <c r="W37" s="61" t="s">
        <v>58</v>
      </c>
      <c r="X37" s="61" t="s">
        <v>58</v>
      </c>
      <c r="Y37" s="61" t="s">
        <v>58</v>
      </c>
      <c r="Z37" s="66" t="s">
        <v>57</v>
      </c>
    </row>
  </sheetData>
  <mergeCells count="2">
    <mergeCell ref="C2:D2"/>
    <mergeCell ref="N21:Z21"/>
  </mergeCells>
  <dataValidations>
    <dataValidation type="list" allowBlank="1" showErrorMessage="1" sqref="F23:F37">
      <formula1>"Bulk ,Personal"</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2" max="2" width="15.13"/>
    <col customWidth="1" min="3" max="3" width="18.88"/>
    <col customWidth="1" min="4" max="4" width="16.13"/>
    <col customWidth="1" min="5" max="5" width="18.88"/>
    <col customWidth="1" min="6" max="7" width="19.75"/>
    <col customWidth="1" min="15" max="17" width="14.38"/>
    <col customWidth="1" min="25" max="25" width="14.75"/>
  </cols>
  <sheetData>
    <row r="1">
      <c r="A1" s="1"/>
      <c r="B1" s="2"/>
      <c r="C1" s="3"/>
      <c r="D1" s="4"/>
      <c r="E1" s="2"/>
      <c r="F1" s="2"/>
      <c r="G1" s="2"/>
      <c r="H1" s="2"/>
      <c r="I1" s="2"/>
      <c r="J1" s="2"/>
      <c r="K1" s="2"/>
      <c r="L1" s="2"/>
      <c r="M1" s="4"/>
    </row>
    <row r="2">
      <c r="A2" s="1"/>
      <c r="B2" s="5"/>
      <c r="C2" s="6" t="s">
        <v>0</v>
      </c>
      <c r="E2" s="2"/>
      <c r="F2" s="2"/>
      <c r="G2" s="2"/>
      <c r="H2" s="2"/>
      <c r="I2" s="2"/>
      <c r="J2" s="2"/>
      <c r="K2" s="2"/>
      <c r="L2" s="2"/>
      <c r="M2" s="4"/>
    </row>
    <row r="3">
      <c r="A3" s="1"/>
      <c r="B3" s="7"/>
      <c r="C3" s="8" t="s">
        <v>1</v>
      </c>
      <c r="D3" s="4"/>
      <c r="E3" s="2"/>
      <c r="F3" s="2"/>
      <c r="G3" s="2"/>
      <c r="H3" s="2"/>
      <c r="I3" s="2"/>
      <c r="J3" s="2"/>
      <c r="K3" s="2"/>
      <c r="L3" s="2"/>
      <c r="M3" s="4"/>
    </row>
    <row r="4">
      <c r="A4" s="1"/>
      <c r="B4" s="2"/>
      <c r="C4" s="3"/>
      <c r="D4" s="4"/>
      <c r="E4" s="2"/>
      <c r="F4" s="2"/>
      <c r="G4" s="2"/>
      <c r="H4" s="2"/>
      <c r="I4" s="2"/>
      <c r="J4" s="2"/>
      <c r="K4" s="2"/>
      <c r="L4" s="2"/>
      <c r="M4" s="4"/>
    </row>
    <row r="5">
      <c r="A5" s="9"/>
      <c r="B5" s="10"/>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row>
    <row r="8">
      <c r="B8" s="23" t="s">
        <v>95</v>
      </c>
    </row>
    <row r="9">
      <c r="B9" s="40" t="s">
        <v>96</v>
      </c>
      <c r="C9" s="41" t="s">
        <v>97</v>
      </c>
      <c r="D9" s="41" t="s">
        <v>2</v>
      </c>
      <c r="E9" s="41" t="s">
        <v>98</v>
      </c>
      <c r="F9" s="41" t="s">
        <v>99</v>
      </c>
      <c r="G9" s="41" t="s">
        <v>100</v>
      </c>
      <c r="H9" s="41" t="s">
        <v>101</v>
      </c>
      <c r="I9" s="41" t="s">
        <v>102</v>
      </c>
      <c r="J9" s="41" t="s">
        <v>103</v>
      </c>
    </row>
    <row r="10">
      <c r="B10" s="22" t="s">
        <v>104</v>
      </c>
      <c r="C10" s="45" t="s">
        <v>105</v>
      </c>
      <c r="E10" s="67" t="s">
        <v>57</v>
      </c>
      <c r="F10" s="67" t="s">
        <v>57</v>
      </c>
      <c r="G10" s="67" t="s">
        <v>106</v>
      </c>
      <c r="H10" s="67" t="s">
        <v>106</v>
      </c>
      <c r="I10" s="67" t="s">
        <v>106</v>
      </c>
      <c r="J10" s="67" t="s">
        <v>106</v>
      </c>
    </row>
    <row r="11">
      <c r="B11" s="22" t="s">
        <v>104</v>
      </c>
      <c r="C11" s="22" t="s">
        <v>107</v>
      </c>
      <c r="E11" s="67" t="s">
        <v>57</v>
      </c>
      <c r="F11" s="67" t="s">
        <v>57</v>
      </c>
      <c r="G11" s="67" t="s">
        <v>57</v>
      </c>
      <c r="H11" s="67" t="s">
        <v>57</v>
      </c>
      <c r="I11" s="67" t="s">
        <v>57</v>
      </c>
      <c r="J11" s="67" t="s">
        <v>106</v>
      </c>
    </row>
    <row r="12">
      <c r="B12" s="22" t="s">
        <v>104</v>
      </c>
      <c r="C12" s="22" t="s">
        <v>108</v>
      </c>
      <c r="E12" s="68"/>
      <c r="F12" s="68"/>
      <c r="G12" s="68"/>
      <c r="H12" s="68"/>
      <c r="I12" s="68"/>
      <c r="J12" s="68"/>
    </row>
    <row r="13">
      <c r="B13" s="22" t="s">
        <v>104</v>
      </c>
      <c r="C13" s="22" t="s">
        <v>109</v>
      </c>
      <c r="E13" s="68"/>
      <c r="F13" s="68"/>
      <c r="G13" s="68"/>
      <c r="H13" s="68"/>
      <c r="I13" s="68"/>
      <c r="J13" s="68"/>
    </row>
    <row r="14">
      <c r="B14" s="22" t="s">
        <v>104</v>
      </c>
      <c r="C14" s="22" t="s">
        <v>110</v>
      </c>
      <c r="E14" s="68"/>
      <c r="F14" s="68"/>
      <c r="G14" s="68"/>
      <c r="H14" s="68"/>
      <c r="I14" s="68"/>
      <c r="J14" s="68"/>
    </row>
    <row r="15">
      <c r="B15" s="22" t="s">
        <v>104</v>
      </c>
      <c r="C15" s="22" t="s">
        <v>111</v>
      </c>
      <c r="E15" s="68"/>
      <c r="F15" s="68"/>
      <c r="G15" s="68"/>
      <c r="H15" s="68"/>
      <c r="I15" s="68"/>
      <c r="J15" s="68"/>
    </row>
    <row r="16">
      <c r="B16" s="22" t="s">
        <v>104</v>
      </c>
      <c r="C16" s="22" t="s">
        <v>112</v>
      </c>
      <c r="E16" s="68"/>
      <c r="F16" s="68"/>
      <c r="G16" s="68"/>
      <c r="H16" s="68"/>
      <c r="I16" s="68"/>
      <c r="J16" s="68"/>
    </row>
    <row r="17">
      <c r="B17" s="22" t="s">
        <v>104</v>
      </c>
      <c r="C17" s="22" t="s">
        <v>113</v>
      </c>
      <c r="E17" s="68"/>
      <c r="F17" s="68"/>
      <c r="G17" s="68"/>
      <c r="H17" s="68"/>
      <c r="I17" s="68"/>
      <c r="J17" s="68"/>
    </row>
    <row r="18">
      <c r="B18" s="22" t="s">
        <v>114</v>
      </c>
      <c r="C18" s="22" t="s">
        <v>115</v>
      </c>
      <c r="E18" s="68"/>
      <c r="F18" s="68"/>
      <c r="G18" s="68"/>
      <c r="H18" s="68"/>
      <c r="I18" s="68"/>
      <c r="J18" s="68"/>
    </row>
    <row r="19">
      <c r="B19" s="22" t="s">
        <v>114</v>
      </c>
      <c r="C19" s="22" t="s">
        <v>116</v>
      </c>
      <c r="E19" s="68"/>
      <c r="F19" s="68"/>
      <c r="G19" s="68"/>
      <c r="H19" s="68"/>
      <c r="I19" s="68"/>
      <c r="J19" s="68"/>
    </row>
    <row r="20">
      <c r="B20" s="22" t="s">
        <v>114</v>
      </c>
      <c r="C20" s="22" t="s">
        <v>117</v>
      </c>
      <c r="E20" s="68"/>
      <c r="F20" s="68"/>
      <c r="G20" s="68"/>
      <c r="H20" s="68"/>
      <c r="I20" s="68"/>
      <c r="J20" s="68"/>
    </row>
    <row r="21">
      <c r="B21" s="22" t="s">
        <v>114</v>
      </c>
      <c r="C21" s="22" t="s">
        <v>118</v>
      </c>
      <c r="E21" s="68"/>
      <c r="F21" s="68"/>
      <c r="G21" s="68"/>
      <c r="H21" s="68"/>
      <c r="I21" s="68"/>
      <c r="J21" s="68"/>
    </row>
    <row r="22">
      <c r="B22" s="22" t="s">
        <v>114</v>
      </c>
      <c r="C22" s="22" t="s">
        <v>119</v>
      </c>
      <c r="E22" s="68"/>
      <c r="F22" s="68"/>
      <c r="G22" s="68"/>
      <c r="H22" s="68"/>
      <c r="I22" s="68"/>
      <c r="J22" s="68"/>
    </row>
    <row r="23">
      <c r="B23" s="22" t="s">
        <v>114</v>
      </c>
      <c r="C23" s="22" t="s">
        <v>120</v>
      </c>
      <c r="E23" s="68"/>
      <c r="F23" s="68"/>
      <c r="G23" s="68"/>
      <c r="H23" s="68"/>
      <c r="I23" s="68"/>
      <c r="J23" s="68"/>
    </row>
    <row r="24">
      <c r="B24" s="22" t="s">
        <v>114</v>
      </c>
      <c r="C24" s="22" t="s">
        <v>105</v>
      </c>
      <c r="E24" s="68"/>
      <c r="F24" s="68"/>
      <c r="G24" s="68"/>
      <c r="H24" s="68"/>
      <c r="I24" s="68"/>
      <c r="J24" s="68"/>
    </row>
    <row r="25">
      <c r="B25" s="22" t="s">
        <v>114</v>
      </c>
      <c r="C25" s="22" t="s">
        <v>121</v>
      </c>
      <c r="E25" s="68"/>
      <c r="F25" s="68"/>
      <c r="G25" s="68"/>
      <c r="H25" s="68"/>
      <c r="I25" s="68"/>
      <c r="J25" s="68"/>
    </row>
    <row r="28">
      <c r="B28" s="23" t="s">
        <v>122</v>
      </c>
      <c r="C28" s="69" t="s">
        <v>123</v>
      </c>
      <c r="D28" s="38"/>
      <c r="E28" s="38"/>
      <c r="F28" s="39"/>
      <c r="G28" s="69" t="s">
        <v>124</v>
      </c>
      <c r="H28" s="38"/>
      <c r="I28" s="38"/>
      <c r="J28" s="39"/>
      <c r="K28" s="69" t="s">
        <v>125</v>
      </c>
      <c r="L28" s="38"/>
      <c r="M28" s="38"/>
      <c r="N28" s="39"/>
      <c r="O28" s="69" t="s">
        <v>126</v>
      </c>
      <c r="P28" s="38"/>
      <c r="Q28" s="38"/>
      <c r="R28" s="39"/>
      <c r="S28" s="69" t="s">
        <v>127</v>
      </c>
      <c r="T28" s="38"/>
      <c r="U28" s="38"/>
      <c r="V28" s="39"/>
      <c r="W28" s="69" t="s">
        <v>128</v>
      </c>
      <c r="X28" s="38"/>
      <c r="Y28" s="38"/>
      <c r="Z28" s="39"/>
      <c r="AA28" s="69" t="s">
        <v>129</v>
      </c>
      <c r="AB28" s="38"/>
      <c r="AC28" s="38"/>
      <c r="AD28" s="39"/>
    </row>
    <row r="29">
      <c r="B29" s="70" t="s">
        <v>130</v>
      </c>
      <c r="C29" s="29" t="s">
        <v>131</v>
      </c>
      <c r="D29" s="22" t="s">
        <v>132</v>
      </c>
      <c r="E29" s="22" t="s">
        <v>133</v>
      </c>
      <c r="F29" s="71" t="s">
        <v>134</v>
      </c>
      <c r="G29" s="29" t="s">
        <v>131</v>
      </c>
      <c r="H29" s="22" t="s">
        <v>132</v>
      </c>
      <c r="I29" s="22" t="s">
        <v>133</v>
      </c>
      <c r="J29" s="71" t="s">
        <v>134</v>
      </c>
      <c r="K29" s="29" t="s">
        <v>131</v>
      </c>
      <c r="L29" s="22" t="s">
        <v>132</v>
      </c>
      <c r="M29" s="22" t="s">
        <v>133</v>
      </c>
      <c r="N29" s="71" t="s">
        <v>134</v>
      </c>
      <c r="O29" s="29" t="s">
        <v>131</v>
      </c>
      <c r="P29" s="22" t="s">
        <v>132</v>
      </c>
      <c r="Q29" s="22" t="s">
        <v>133</v>
      </c>
      <c r="R29" s="71" t="s">
        <v>134</v>
      </c>
      <c r="S29" s="29" t="s">
        <v>131</v>
      </c>
      <c r="T29" s="22" t="s">
        <v>132</v>
      </c>
      <c r="U29" s="22" t="s">
        <v>133</v>
      </c>
      <c r="V29" s="71" t="s">
        <v>134</v>
      </c>
      <c r="W29" s="29" t="s">
        <v>131</v>
      </c>
      <c r="X29" s="22" t="s">
        <v>132</v>
      </c>
      <c r="Y29" s="22" t="s">
        <v>133</v>
      </c>
      <c r="Z29" s="71" t="s">
        <v>134</v>
      </c>
      <c r="AA29" s="29" t="s">
        <v>131</v>
      </c>
      <c r="AB29" s="22" t="s">
        <v>132</v>
      </c>
      <c r="AC29" s="22" t="s">
        <v>133</v>
      </c>
      <c r="AD29" s="71" t="s">
        <v>134</v>
      </c>
    </row>
    <row r="30">
      <c r="B30" s="72" t="s">
        <v>98</v>
      </c>
      <c r="C30" s="16"/>
      <c r="F30" s="71" t="b">
        <v>0</v>
      </c>
      <c r="G30" s="16"/>
      <c r="J30" s="71" t="b">
        <v>0</v>
      </c>
      <c r="K30" s="16"/>
      <c r="N30" s="71" t="b">
        <v>0</v>
      </c>
      <c r="O30" s="16"/>
      <c r="R30" s="71" t="b">
        <v>0</v>
      </c>
      <c r="S30" s="16"/>
      <c r="V30" s="71" t="b">
        <v>0</v>
      </c>
      <c r="W30" s="16"/>
      <c r="Z30" s="71" t="b">
        <v>0</v>
      </c>
      <c r="AA30" s="16"/>
      <c r="AD30" s="71" t="b">
        <v>0</v>
      </c>
    </row>
    <row r="31">
      <c r="B31" s="72" t="s">
        <v>99</v>
      </c>
      <c r="C31" s="16"/>
      <c r="F31" s="17" t="b">
        <v>0</v>
      </c>
      <c r="G31" s="16"/>
      <c r="J31" s="17" t="b">
        <v>0</v>
      </c>
      <c r="K31" s="16"/>
      <c r="N31" s="17" t="b">
        <v>0</v>
      </c>
      <c r="O31" s="16"/>
      <c r="R31" s="17" t="b">
        <v>0</v>
      </c>
      <c r="S31" s="16"/>
      <c r="V31" s="17" t="b">
        <v>0</v>
      </c>
      <c r="W31" s="16"/>
      <c r="Z31" s="17" t="b">
        <v>0</v>
      </c>
      <c r="AA31" s="16"/>
      <c r="AD31" s="17" t="b">
        <v>0</v>
      </c>
    </row>
    <row r="32">
      <c r="B32" s="72" t="s">
        <v>100</v>
      </c>
      <c r="C32" s="16"/>
      <c r="F32" s="17" t="b">
        <v>0</v>
      </c>
      <c r="G32" s="16"/>
      <c r="J32" s="17" t="b">
        <v>0</v>
      </c>
      <c r="K32" s="16"/>
      <c r="N32" s="17" t="b">
        <v>0</v>
      </c>
      <c r="O32" s="16"/>
      <c r="R32" s="17" t="b">
        <v>0</v>
      </c>
      <c r="S32" s="16"/>
      <c r="V32" s="17" t="b">
        <v>0</v>
      </c>
      <c r="W32" s="16"/>
      <c r="Z32" s="17" t="b">
        <v>0</v>
      </c>
      <c r="AA32" s="16"/>
      <c r="AD32" s="17" t="b">
        <v>0</v>
      </c>
    </row>
    <row r="33">
      <c r="B33" s="72" t="s">
        <v>101</v>
      </c>
      <c r="C33" s="16"/>
      <c r="F33" s="17" t="b">
        <v>0</v>
      </c>
      <c r="G33" s="16"/>
      <c r="J33" s="17" t="b">
        <v>0</v>
      </c>
      <c r="K33" s="16"/>
      <c r="N33" s="17" t="b">
        <v>0</v>
      </c>
      <c r="O33" s="16"/>
      <c r="R33" s="17" t="b">
        <v>0</v>
      </c>
      <c r="S33" s="16"/>
      <c r="V33" s="17" t="b">
        <v>0</v>
      </c>
      <c r="W33" s="16"/>
      <c r="Z33" s="17" t="b">
        <v>0</v>
      </c>
      <c r="AA33" s="16"/>
      <c r="AD33" s="17" t="b">
        <v>0</v>
      </c>
    </row>
    <row r="34">
      <c r="B34" s="72" t="s">
        <v>102</v>
      </c>
      <c r="C34" s="16"/>
      <c r="F34" s="17" t="b">
        <v>0</v>
      </c>
      <c r="G34" s="16"/>
      <c r="J34" s="17" t="b">
        <v>0</v>
      </c>
      <c r="K34" s="16"/>
      <c r="N34" s="17" t="b">
        <v>0</v>
      </c>
      <c r="O34" s="16"/>
      <c r="R34" s="17" t="b">
        <v>0</v>
      </c>
      <c r="S34" s="16"/>
      <c r="V34" s="17" t="b">
        <v>0</v>
      </c>
      <c r="W34" s="16"/>
      <c r="Z34" s="17" t="b">
        <v>0</v>
      </c>
      <c r="AA34" s="16"/>
      <c r="AD34" s="17" t="b">
        <v>0</v>
      </c>
    </row>
    <row r="35">
      <c r="B35" s="73" t="s">
        <v>103</v>
      </c>
      <c r="C35" s="18"/>
      <c r="D35" s="19"/>
      <c r="E35" s="19"/>
      <c r="F35" s="20" t="b">
        <v>0</v>
      </c>
      <c r="G35" s="18"/>
      <c r="H35" s="19"/>
      <c r="I35" s="19"/>
      <c r="J35" s="20" t="b">
        <v>0</v>
      </c>
      <c r="K35" s="18"/>
      <c r="L35" s="19"/>
      <c r="M35" s="19"/>
      <c r="N35" s="20" t="b">
        <v>0</v>
      </c>
      <c r="O35" s="18"/>
      <c r="P35" s="19"/>
      <c r="Q35" s="19"/>
      <c r="R35" s="20" t="b">
        <v>0</v>
      </c>
      <c r="S35" s="18"/>
      <c r="T35" s="19"/>
      <c r="U35" s="19"/>
      <c r="V35" s="20" t="b">
        <v>0</v>
      </c>
      <c r="W35" s="18"/>
      <c r="X35" s="19"/>
      <c r="Y35" s="19"/>
      <c r="Z35" s="20" t="b">
        <v>0</v>
      </c>
      <c r="AA35" s="18"/>
      <c r="AB35" s="19"/>
      <c r="AC35" s="19"/>
      <c r="AD35" s="20" t="b">
        <v>0</v>
      </c>
    </row>
    <row r="37">
      <c r="B37" s="23" t="s">
        <v>135</v>
      </c>
      <c r="C37" s="69" t="s">
        <v>123</v>
      </c>
      <c r="D37" s="38"/>
      <c r="E37" s="38"/>
      <c r="F37" s="39"/>
      <c r="G37" s="69" t="s">
        <v>124</v>
      </c>
      <c r="H37" s="38"/>
      <c r="I37" s="38"/>
      <c r="J37" s="39"/>
      <c r="K37" s="69" t="s">
        <v>125</v>
      </c>
      <c r="L37" s="38"/>
      <c r="M37" s="38"/>
      <c r="N37" s="39"/>
      <c r="O37" s="69" t="s">
        <v>126</v>
      </c>
      <c r="P37" s="38"/>
      <c r="Q37" s="38"/>
      <c r="R37" s="39"/>
      <c r="S37" s="69" t="s">
        <v>127</v>
      </c>
      <c r="T37" s="38"/>
      <c r="U37" s="38"/>
      <c r="V37" s="39"/>
      <c r="W37" s="69" t="s">
        <v>128</v>
      </c>
      <c r="X37" s="38"/>
      <c r="Y37" s="38"/>
      <c r="Z37" s="39"/>
      <c r="AA37" s="69" t="s">
        <v>129</v>
      </c>
      <c r="AB37" s="38"/>
      <c r="AC37" s="38"/>
      <c r="AD37" s="39"/>
    </row>
    <row r="38">
      <c r="B38" s="70" t="s">
        <v>130</v>
      </c>
      <c r="C38" s="29" t="s">
        <v>131</v>
      </c>
      <c r="D38" s="22" t="s">
        <v>132</v>
      </c>
      <c r="E38" s="22" t="s">
        <v>133</v>
      </c>
      <c r="F38" s="71" t="s">
        <v>134</v>
      </c>
      <c r="G38" s="29" t="s">
        <v>131</v>
      </c>
      <c r="H38" s="22" t="s">
        <v>132</v>
      </c>
      <c r="I38" s="22" t="s">
        <v>133</v>
      </c>
      <c r="J38" s="71" t="s">
        <v>134</v>
      </c>
      <c r="K38" s="29" t="s">
        <v>131</v>
      </c>
      <c r="L38" s="22" t="s">
        <v>132</v>
      </c>
      <c r="M38" s="22" t="s">
        <v>133</v>
      </c>
      <c r="N38" s="71" t="s">
        <v>134</v>
      </c>
      <c r="O38" s="29" t="s">
        <v>131</v>
      </c>
      <c r="P38" s="22" t="s">
        <v>132</v>
      </c>
      <c r="Q38" s="22" t="s">
        <v>133</v>
      </c>
      <c r="R38" s="71" t="s">
        <v>134</v>
      </c>
      <c r="S38" s="29" t="s">
        <v>131</v>
      </c>
      <c r="T38" s="22" t="s">
        <v>132</v>
      </c>
      <c r="U38" s="22" t="s">
        <v>133</v>
      </c>
      <c r="V38" s="71" t="s">
        <v>134</v>
      </c>
      <c r="W38" s="29" t="s">
        <v>131</v>
      </c>
      <c r="X38" s="22" t="s">
        <v>132</v>
      </c>
      <c r="Y38" s="22" t="s">
        <v>133</v>
      </c>
      <c r="Z38" s="71" t="s">
        <v>134</v>
      </c>
      <c r="AA38" s="29" t="s">
        <v>131</v>
      </c>
      <c r="AB38" s="22" t="s">
        <v>132</v>
      </c>
      <c r="AC38" s="22" t="s">
        <v>133</v>
      </c>
      <c r="AD38" s="71" t="s">
        <v>134</v>
      </c>
    </row>
    <row r="39">
      <c r="B39" s="72" t="s">
        <v>98</v>
      </c>
      <c r="C39" s="16"/>
      <c r="F39" s="71" t="b">
        <v>0</v>
      </c>
      <c r="G39" s="16"/>
      <c r="J39" s="71" t="b">
        <v>0</v>
      </c>
      <c r="K39" s="16"/>
      <c r="N39" s="71" t="b">
        <v>0</v>
      </c>
      <c r="O39" s="16"/>
      <c r="R39" s="71" t="b">
        <v>0</v>
      </c>
      <c r="S39" s="16"/>
      <c r="V39" s="71" t="b">
        <v>0</v>
      </c>
      <c r="W39" s="16"/>
      <c r="Z39" s="71" t="b">
        <v>0</v>
      </c>
      <c r="AA39" s="16"/>
      <c r="AD39" s="71" t="b">
        <v>0</v>
      </c>
    </row>
    <row r="40">
      <c r="B40" s="72" t="s">
        <v>99</v>
      </c>
      <c r="C40" s="16"/>
      <c r="F40" s="17" t="b">
        <v>0</v>
      </c>
      <c r="G40" s="16"/>
      <c r="J40" s="17" t="b">
        <v>0</v>
      </c>
      <c r="K40" s="16"/>
      <c r="N40" s="17" t="b">
        <v>0</v>
      </c>
      <c r="O40" s="16"/>
      <c r="R40" s="17" t="b">
        <v>0</v>
      </c>
      <c r="S40" s="16"/>
      <c r="V40" s="17" t="b">
        <v>0</v>
      </c>
      <c r="W40" s="16"/>
      <c r="Z40" s="17" t="b">
        <v>0</v>
      </c>
      <c r="AA40" s="16"/>
      <c r="AD40" s="17" t="b">
        <v>0</v>
      </c>
    </row>
    <row r="41">
      <c r="B41" s="72" t="s">
        <v>100</v>
      </c>
      <c r="C41" s="16"/>
      <c r="F41" s="17" t="b">
        <v>0</v>
      </c>
      <c r="G41" s="16"/>
      <c r="J41" s="17" t="b">
        <v>0</v>
      </c>
      <c r="K41" s="16"/>
      <c r="N41" s="17" t="b">
        <v>0</v>
      </c>
      <c r="O41" s="16"/>
      <c r="R41" s="17" t="b">
        <v>0</v>
      </c>
      <c r="S41" s="16"/>
      <c r="V41" s="17" t="b">
        <v>0</v>
      </c>
      <c r="W41" s="16"/>
      <c r="Z41" s="17" t="b">
        <v>0</v>
      </c>
      <c r="AA41" s="16"/>
      <c r="AD41" s="17" t="b">
        <v>0</v>
      </c>
    </row>
    <row r="42">
      <c r="B42" s="72" t="s">
        <v>101</v>
      </c>
      <c r="C42" s="16"/>
      <c r="F42" s="17" t="b">
        <v>0</v>
      </c>
      <c r="G42" s="16"/>
      <c r="J42" s="17" t="b">
        <v>0</v>
      </c>
      <c r="K42" s="16"/>
      <c r="N42" s="17" t="b">
        <v>0</v>
      </c>
      <c r="O42" s="16"/>
      <c r="R42" s="17" t="b">
        <v>0</v>
      </c>
      <c r="S42" s="16"/>
      <c r="V42" s="17" t="b">
        <v>0</v>
      </c>
      <c r="W42" s="16"/>
      <c r="Z42" s="17" t="b">
        <v>0</v>
      </c>
      <c r="AA42" s="16"/>
      <c r="AD42" s="17" t="b">
        <v>0</v>
      </c>
    </row>
    <row r="43">
      <c r="B43" s="72" t="s">
        <v>102</v>
      </c>
      <c r="C43" s="16"/>
      <c r="F43" s="17" t="b">
        <v>0</v>
      </c>
      <c r="G43" s="16"/>
      <c r="J43" s="17" t="b">
        <v>0</v>
      </c>
      <c r="K43" s="16"/>
      <c r="N43" s="17" t="b">
        <v>0</v>
      </c>
      <c r="O43" s="16"/>
      <c r="R43" s="17" t="b">
        <v>0</v>
      </c>
      <c r="S43" s="16"/>
      <c r="V43" s="17" t="b">
        <v>0</v>
      </c>
      <c r="W43" s="16"/>
      <c r="Z43" s="17" t="b">
        <v>0</v>
      </c>
      <c r="AA43" s="16"/>
      <c r="AD43" s="17" t="b">
        <v>0</v>
      </c>
    </row>
    <row r="44">
      <c r="B44" s="73" t="s">
        <v>103</v>
      </c>
      <c r="C44" s="18"/>
      <c r="D44" s="19"/>
      <c r="E44" s="19"/>
      <c r="F44" s="20" t="b">
        <v>0</v>
      </c>
      <c r="G44" s="18"/>
      <c r="H44" s="19"/>
      <c r="I44" s="19"/>
      <c r="J44" s="20" t="b">
        <v>0</v>
      </c>
      <c r="K44" s="18"/>
      <c r="L44" s="19"/>
      <c r="M44" s="19"/>
      <c r="N44" s="20" t="b">
        <v>0</v>
      </c>
      <c r="O44" s="18"/>
      <c r="P44" s="19"/>
      <c r="Q44" s="19"/>
      <c r="R44" s="20" t="b">
        <v>0</v>
      </c>
      <c r="S44" s="18"/>
      <c r="T44" s="19"/>
      <c r="U44" s="19"/>
      <c r="V44" s="20" t="b">
        <v>0</v>
      </c>
      <c r="W44" s="18"/>
      <c r="X44" s="19"/>
      <c r="Y44" s="19"/>
      <c r="Z44" s="20" t="b">
        <v>0</v>
      </c>
      <c r="AA44" s="18"/>
      <c r="AB44" s="19"/>
      <c r="AC44" s="19"/>
      <c r="AD44" s="20" t="b">
        <v>0</v>
      </c>
    </row>
  </sheetData>
  <mergeCells count="15">
    <mergeCell ref="C28:F28"/>
    <mergeCell ref="C37:F37"/>
    <mergeCell ref="G37:J37"/>
    <mergeCell ref="K37:N37"/>
    <mergeCell ref="O37:R37"/>
    <mergeCell ref="S37:V37"/>
    <mergeCell ref="W37:Z37"/>
    <mergeCell ref="AA37:AD37"/>
    <mergeCell ref="C2:D2"/>
    <mergeCell ref="G28:J28"/>
    <mergeCell ref="K28:N28"/>
    <mergeCell ref="O28:R28"/>
    <mergeCell ref="S28:V28"/>
    <mergeCell ref="W28:Z28"/>
    <mergeCell ref="AA28:AD28"/>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3" max="3" width="41.75"/>
  </cols>
  <sheetData>
    <row r="2">
      <c r="A2" s="43" t="s">
        <v>136</v>
      </c>
      <c r="B2" s="43" t="s">
        <v>137</v>
      </c>
      <c r="C2" s="43" t="s">
        <v>138</v>
      </c>
      <c r="D2" s="74" t="s">
        <v>139</v>
      </c>
      <c r="E2" s="74" t="s">
        <v>39</v>
      </c>
      <c r="F2" s="75" t="s">
        <v>140</v>
      </c>
      <c r="G2" s="74" t="s">
        <v>141</v>
      </c>
      <c r="H2" s="74" t="s">
        <v>43</v>
      </c>
      <c r="I2" s="74" t="s">
        <v>44</v>
      </c>
      <c r="J2" s="75" t="s">
        <v>45</v>
      </c>
      <c r="K2" s="75" t="s">
        <v>46</v>
      </c>
      <c r="L2" s="74" t="s">
        <v>142</v>
      </c>
      <c r="M2" s="75" t="s">
        <v>143</v>
      </c>
      <c r="N2" s="43" t="s">
        <v>144</v>
      </c>
      <c r="O2" s="76" t="s">
        <v>145</v>
      </c>
      <c r="P2" s="77"/>
      <c r="Q2" s="77"/>
      <c r="R2" s="77"/>
      <c r="S2" s="77"/>
      <c r="T2" s="77"/>
      <c r="U2" s="77"/>
      <c r="V2" s="77"/>
      <c r="W2" s="77"/>
      <c r="X2" s="77"/>
      <c r="Y2" s="77"/>
      <c r="Z2" s="77"/>
    </row>
    <row r="3">
      <c r="A3" s="78">
        <v>46090.0</v>
      </c>
      <c r="B3" s="79" t="s">
        <v>146</v>
      </c>
      <c r="C3" s="80" t="s">
        <v>147</v>
      </c>
      <c r="D3" s="81" t="s">
        <v>65</v>
      </c>
      <c r="E3" s="13">
        <v>1.0</v>
      </c>
      <c r="F3" s="13">
        <v>1.0</v>
      </c>
      <c r="G3" s="13">
        <v>1.0</v>
      </c>
      <c r="H3" s="81">
        <v>1.0</v>
      </c>
      <c r="I3" s="13">
        <v>1.0</v>
      </c>
      <c r="J3" s="13">
        <v>1.0</v>
      </c>
      <c r="K3" s="13">
        <v>1.0</v>
      </c>
      <c r="L3" s="13">
        <v>1.0</v>
      </c>
      <c r="M3" s="13">
        <v>1.0</v>
      </c>
      <c r="N3" s="13">
        <v>0.0</v>
      </c>
    </row>
    <row r="4">
      <c r="B4" s="23" t="s">
        <v>148</v>
      </c>
      <c r="C4" s="82" t="s">
        <v>149</v>
      </c>
      <c r="D4" s="83" t="s">
        <v>65</v>
      </c>
      <c r="E4" s="22">
        <v>0.0</v>
      </c>
      <c r="F4" s="22">
        <v>1.0</v>
      </c>
      <c r="G4" s="22">
        <v>1.0</v>
      </c>
      <c r="H4" s="22">
        <v>1.0</v>
      </c>
      <c r="I4" s="22">
        <v>0.0</v>
      </c>
      <c r="J4" s="22">
        <v>0.0</v>
      </c>
      <c r="K4" s="22">
        <v>1.0</v>
      </c>
      <c r="L4" s="22">
        <v>0.0</v>
      </c>
      <c r="M4" s="22">
        <v>1.0</v>
      </c>
      <c r="N4" s="22">
        <v>0.0</v>
      </c>
    </row>
    <row r="5">
      <c r="B5" s="22" t="s">
        <v>150</v>
      </c>
      <c r="C5" s="82" t="s">
        <v>151</v>
      </c>
      <c r="D5" s="83" t="s">
        <v>65</v>
      </c>
      <c r="E5" s="22">
        <v>1.0</v>
      </c>
      <c r="F5" s="22">
        <v>1.0</v>
      </c>
      <c r="G5" s="22">
        <v>1.0</v>
      </c>
      <c r="H5" s="83">
        <v>1.0</v>
      </c>
      <c r="I5" s="22">
        <v>1.0</v>
      </c>
      <c r="J5" s="22">
        <v>1.0</v>
      </c>
      <c r="K5" s="22">
        <v>1.0</v>
      </c>
      <c r="L5" s="22">
        <v>1.0</v>
      </c>
      <c r="M5" s="22">
        <v>1.0</v>
      </c>
      <c r="N5" s="22">
        <v>0.0</v>
      </c>
    </row>
    <row r="6">
      <c r="B6" s="22" t="s">
        <v>152</v>
      </c>
      <c r="C6" s="22"/>
      <c r="D6" s="83" t="s">
        <v>65</v>
      </c>
      <c r="E6" s="22"/>
      <c r="F6" s="22"/>
      <c r="G6" s="22"/>
      <c r="H6" s="22">
        <v>1.0</v>
      </c>
      <c r="I6" s="22"/>
      <c r="J6" s="22"/>
      <c r="K6" s="22"/>
      <c r="L6" s="22"/>
      <c r="M6" s="22">
        <v>1.0</v>
      </c>
      <c r="N6" s="22"/>
    </row>
    <row r="7">
      <c r="B7" s="22" t="s">
        <v>153</v>
      </c>
      <c r="C7" s="82" t="s">
        <v>154</v>
      </c>
      <c r="D7" s="84" t="s">
        <v>55</v>
      </c>
      <c r="E7" s="22">
        <v>0.0</v>
      </c>
      <c r="F7" s="22">
        <v>0.0</v>
      </c>
      <c r="G7" s="22">
        <v>0.0</v>
      </c>
      <c r="H7" s="22">
        <v>0.0</v>
      </c>
      <c r="I7" s="22">
        <v>0.0</v>
      </c>
      <c r="J7" s="22">
        <v>0.0</v>
      </c>
      <c r="K7" s="22">
        <v>0.0</v>
      </c>
      <c r="L7" s="22">
        <v>0.0</v>
      </c>
      <c r="M7" s="22">
        <v>0.0</v>
      </c>
      <c r="N7" s="22">
        <v>1.0</v>
      </c>
    </row>
    <row r="8">
      <c r="B8" s="22" t="s">
        <v>155</v>
      </c>
      <c r="C8" s="85" t="s">
        <v>156</v>
      </c>
      <c r="D8" s="81" t="s">
        <v>65</v>
      </c>
      <c r="E8" s="22">
        <v>1.0</v>
      </c>
      <c r="F8" s="22">
        <v>1.0</v>
      </c>
      <c r="G8" s="22">
        <v>1.0</v>
      </c>
      <c r="H8" s="22">
        <v>1.0</v>
      </c>
      <c r="I8" s="22">
        <v>1.0</v>
      </c>
      <c r="J8" s="22">
        <v>1.0</v>
      </c>
      <c r="K8" s="22">
        <v>1.0</v>
      </c>
      <c r="L8" s="22">
        <v>1.0</v>
      </c>
      <c r="M8" s="86">
        <v>0.0</v>
      </c>
      <c r="N8" s="22">
        <v>0.0</v>
      </c>
    </row>
    <row r="9">
      <c r="B9" s="22" t="s">
        <v>157</v>
      </c>
      <c r="C9" s="87" t="s">
        <v>58</v>
      </c>
      <c r="D9" s="81" t="s">
        <v>65</v>
      </c>
    </row>
    <row r="10">
      <c r="B10" s="59" t="s">
        <v>158</v>
      </c>
      <c r="C10" s="88" t="s">
        <v>159</v>
      </c>
      <c r="D10" s="89" t="s">
        <v>55</v>
      </c>
      <c r="E10" s="59">
        <v>0.0</v>
      </c>
      <c r="F10" s="59">
        <v>0.0</v>
      </c>
      <c r="G10" s="59">
        <v>0.0</v>
      </c>
      <c r="H10" s="59">
        <v>0.0</v>
      </c>
      <c r="I10" s="59">
        <v>0.0</v>
      </c>
      <c r="J10" s="59">
        <v>0.0</v>
      </c>
      <c r="K10" s="59">
        <v>0.0</v>
      </c>
      <c r="L10" s="59">
        <v>0.0</v>
      </c>
      <c r="M10" s="59">
        <v>0.0</v>
      </c>
      <c r="N10" s="59">
        <v>1.0</v>
      </c>
    </row>
    <row r="14">
      <c r="B14" s="90" t="s">
        <v>160</v>
      </c>
    </row>
    <row r="15">
      <c r="B15" s="23" t="s">
        <v>161</v>
      </c>
      <c r="C15" s="23" t="s">
        <v>137</v>
      </c>
      <c r="D15" s="23" t="s">
        <v>138</v>
      </c>
      <c r="E15" s="23" t="s">
        <v>139</v>
      </c>
      <c r="F15" s="91" t="s">
        <v>39</v>
      </c>
      <c r="G15" s="92" t="s">
        <v>140</v>
      </c>
      <c r="H15" s="91" t="s">
        <v>141</v>
      </c>
      <c r="I15" s="91" t="s">
        <v>43</v>
      </c>
      <c r="J15" s="91" t="s">
        <v>44</v>
      </c>
      <c r="K15" s="92" t="s">
        <v>45</v>
      </c>
      <c r="L15" s="92" t="s">
        <v>46</v>
      </c>
      <c r="M15" s="91" t="s">
        <v>142</v>
      </c>
      <c r="N15" s="92" t="s">
        <v>143</v>
      </c>
      <c r="O15" s="23" t="s">
        <v>144</v>
      </c>
      <c r="P15" s="22" t="s">
        <v>162</v>
      </c>
      <c r="Q15" s="22" t="s">
        <v>163</v>
      </c>
      <c r="R15" s="22" t="s">
        <v>164</v>
      </c>
      <c r="S15" s="22" t="s">
        <v>165</v>
      </c>
    </row>
    <row r="16">
      <c r="A16" s="23" t="s">
        <v>166</v>
      </c>
      <c r="B16" s="22" t="s">
        <v>167</v>
      </c>
      <c r="C16" s="23" t="s">
        <v>168</v>
      </c>
      <c r="D16" s="82" t="s">
        <v>169</v>
      </c>
      <c r="E16" s="22" t="s">
        <v>55</v>
      </c>
      <c r="F16" s="22">
        <v>0.0</v>
      </c>
      <c r="G16" s="22">
        <v>0.0</v>
      </c>
      <c r="H16" s="22">
        <v>1.0</v>
      </c>
      <c r="I16" s="22">
        <v>0.0</v>
      </c>
      <c r="J16" s="22">
        <v>0.0</v>
      </c>
      <c r="K16" s="22">
        <v>1.0</v>
      </c>
      <c r="L16" s="22">
        <v>1.0</v>
      </c>
      <c r="M16" s="22">
        <v>1.0</v>
      </c>
      <c r="N16" s="22">
        <v>0.0</v>
      </c>
      <c r="O16" s="22">
        <v>0.0</v>
      </c>
      <c r="P16" s="22">
        <v>1.0</v>
      </c>
      <c r="Q16" s="22">
        <v>1.0</v>
      </c>
      <c r="R16" s="22">
        <v>0.0</v>
      </c>
      <c r="S16" s="22">
        <v>0.0</v>
      </c>
    </row>
    <row r="17">
      <c r="B17" s="22" t="s">
        <v>167</v>
      </c>
      <c r="C17" s="23" t="s">
        <v>170</v>
      </c>
      <c r="D17" s="82" t="s">
        <v>169</v>
      </c>
      <c r="E17" s="22" t="s">
        <v>55</v>
      </c>
      <c r="F17" s="22">
        <v>1.0</v>
      </c>
      <c r="G17" s="22">
        <v>0.0</v>
      </c>
      <c r="H17" s="22">
        <v>1.0</v>
      </c>
      <c r="I17" s="22">
        <v>0.0</v>
      </c>
      <c r="J17" s="22">
        <v>0.0</v>
      </c>
      <c r="K17" s="22">
        <v>0.0</v>
      </c>
      <c r="L17" s="22">
        <v>0.0</v>
      </c>
      <c r="M17" s="22">
        <v>0.0</v>
      </c>
      <c r="N17" s="22">
        <v>0.0</v>
      </c>
      <c r="O17" s="22">
        <v>0.0</v>
      </c>
      <c r="P17" s="22">
        <v>1.0</v>
      </c>
      <c r="Q17" s="22">
        <v>0.0</v>
      </c>
      <c r="R17" s="22">
        <v>0.0</v>
      </c>
      <c r="S17" s="22">
        <v>0.0</v>
      </c>
    </row>
    <row r="18">
      <c r="B18" s="93">
        <v>46055.0</v>
      </c>
      <c r="C18" s="22" t="s">
        <v>171</v>
      </c>
      <c r="D18" s="82" t="s">
        <v>172</v>
      </c>
      <c r="E18" s="22"/>
      <c r="H18" s="22">
        <v>1.0</v>
      </c>
      <c r="L18" s="22">
        <v>1.0</v>
      </c>
    </row>
    <row r="19">
      <c r="B19" s="93">
        <v>46058.0</v>
      </c>
      <c r="C19" s="22" t="s">
        <v>173</v>
      </c>
      <c r="D19" s="87" t="s">
        <v>174</v>
      </c>
      <c r="E19" s="22" t="s">
        <v>65</v>
      </c>
      <c r="H19" s="22">
        <v>1.0</v>
      </c>
      <c r="L19" s="22">
        <v>1.0</v>
      </c>
    </row>
    <row r="23">
      <c r="B23" s="22" t="s">
        <v>175</v>
      </c>
    </row>
  </sheetData>
  <dataValidations>
    <dataValidation type="list" allowBlank="1" showErrorMessage="1" sqref="D3:D10">
      <formula1>"Bulk ,Personal"</formula1>
    </dataValidation>
  </dataValidations>
  <hyperlinks>
    <hyperlink r:id="rId1" ref="C3"/>
    <hyperlink r:id="rId2" ref="C4"/>
    <hyperlink r:id="rId3" ref="C5"/>
    <hyperlink r:id="rId4" ref="C7"/>
    <hyperlink r:id="rId5" ref="C8"/>
    <hyperlink r:id="rId6" ref="C10"/>
    <hyperlink r:id="rId7" ref="D16"/>
    <hyperlink r:id="rId8" ref="D17"/>
    <hyperlink r:id="rId9" ref="D18"/>
  </hyperlinks>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13"/>
    <col customWidth="1" min="5" max="6" width="15.75"/>
    <col customWidth="1" min="7" max="7" width="13.75"/>
    <col customWidth="1" min="12" max="12" width="20.5"/>
  </cols>
  <sheetData>
    <row r="1">
      <c r="A1" s="90" t="s">
        <v>176</v>
      </c>
      <c r="B1" s="90" t="s">
        <v>177</v>
      </c>
    </row>
    <row r="3">
      <c r="A3" s="94" t="s">
        <v>178</v>
      </c>
      <c r="C3" s="95"/>
      <c r="D3" s="95"/>
      <c r="E3" s="95"/>
      <c r="F3" s="95"/>
      <c r="G3" s="95"/>
      <c r="H3" s="95"/>
      <c r="I3" s="95"/>
      <c r="J3" s="95"/>
      <c r="K3" s="95"/>
      <c r="L3" s="95"/>
      <c r="M3" s="95"/>
      <c r="N3" s="95"/>
      <c r="O3" s="95"/>
    </row>
    <row r="4">
      <c r="A4" s="23"/>
      <c r="B4" s="23" t="s">
        <v>161</v>
      </c>
      <c r="C4" s="23" t="s">
        <v>137</v>
      </c>
      <c r="D4" s="23" t="s">
        <v>138</v>
      </c>
      <c r="E4" s="91" t="s">
        <v>139</v>
      </c>
      <c r="F4" s="91" t="s">
        <v>39</v>
      </c>
      <c r="G4" s="92" t="s">
        <v>140</v>
      </c>
      <c r="H4" s="91" t="s">
        <v>141</v>
      </c>
      <c r="I4" s="91" t="s">
        <v>43</v>
      </c>
      <c r="J4" s="91" t="s">
        <v>44</v>
      </c>
      <c r="K4" s="92" t="s">
        <v>45</v>
      </c>
      <c r="L4" s="92" t="s">
        <v>46</v>
      </c>
      <c r="M4" s="91" t="s">
        <v>142</v>
      </c>
      <c r="N4" s="92" t="s">
        <v>143</v>
      </c>
      <c r="O4" s="23" t="s">
        <v>144</v>
      </c>
    </row>
    <row r="5">
      <c r="A5" s="22"/>
      <c r="B5" s="13" t="s">
        <v>167</v>
      </c>
      <c r="C5" s="79" t="s">
        <v>146</v>
      </c>
      <c r="D5" s="80" t="s">
        <v>147</v>
      </c>
      <c r="E5" s="81" t="s">
        <v>65</v>
      </c>
      <c r="F5" s="13">
        <v>1.0</v>
      </c>
      <c r="G5" s="13">
        <v>1.0</v>
      </c>
      <c r="H5" s="13">
        <v>1.0</v>
      </c>
      <c r="I5" s="81">
        <v>1.0</v>
      </c>
      <c r="J5" s="13">
        <v>1.0</v>
      </c>
      <c r="K5" s="13">
        <v>1.0</v>
      </c>
      <c r="L5" s="13">
        <v>1.0</v>
      </c>
      <c r="M5" s="13">
        <v>1.0</v>
      </c>
      <c r="N5" s="13">
        <v>1.0</v>
      </c>
      <c r="O5" s="13">
        <v>0.0</v>
      </c>
      <c r="P5" s="14"/>
      <c r="Q5" s="14"/>
      <c r="R5" s="14"/>
      <c r="S5" s="14"/>
      <c r="T5" s="14"/>
      <c r="U5" s="14"/>
      <c r="V5" s="14"/>
      <c r="W5" s="14"/>
      <c r="X5" s="14"/>
      <c r="Y5" s="14"/>
      <c r="Z5" s="14"/>
      <c r="AA5" s="14"/>
      <c r="AB5" s="14"/>
    </row>
    <row r="6">
      <c r="A6" s="22"/>
      <c r="B6" s="13" t="s">
        <v>167</v>
      </c>
      <c r="C6" s="23" t="s">
        <v>148</v>
      </c>
      <c r="D6" s="82" t="s">
        <v>149</v>
      </c>
      <c r="E6" s="83" t="s">
        <v>65</v>
      </c>
      <c r="F6" s="22">
        <v>0.0</v>
      </c>
      <c r="G6" s="22">
        <v>1.0</v>
      </c>
      <c r="H6" s="22">
        <v>1.0</v>
      </c>
      <c r="I6" s="22">
        <v>1.0</v>
      </c>
      <c r="J6" s="22">
        <v>0.0</v>
      </c>
      <c r="K6" s="22">
        <v>0.0</v>
      </c>
      <c r="L6" s="22">
        <v>1.0</v>
      </c>
      <c r="M6" s="22">
        <v>0.0</v>
      </c>
      <c r="N6" s="22">
        <v>1.0</v>
      </c>
      <c r="O6" s="22">
        <v>0.0</v>
      </c>
    </row>
    <row r="7">
      <c r="A7" s="22"/>
      <c r="B7" s="13" t="s">
        <v>167</v>
      </c>
      <c r="C7" s="22" t="s">
        <v>150</v>
      </c>
      <c r="D7" s="82" t="s">
        <v>151</v>
      </c>
      <c r="E7" s="83" t="s">
        <v>65</v>
      </c>
      <c r="F7" s="22">
        <v>1.0</v>
      </c>
      <c r="G7" s="22">
        <v>1.0</v>
      </c>
      <c r="H7" s="22">
        <v>1.0</v>
      </c>
      <c r="I7" s="83">
        <v>1.0</v>
      </c>
      <c r="J7" s="22">
        <v>1.0</v>
      </c>
      <c r="K7" s="22">
        <v>1.0</v>
      </c>
      <c r="L7" s="22">
        <v>1.0</v>
      </c>
      <c r="M7" s="22">
        <v>1.0</v>
      </c>
      <c r="N7" s="22">
        <v>1.0</v>
      </c>
      <c r="O7" s="22">
        <v>0.0</v>
      </c>
    </row>
    <row r="8">
      <c r="A8" s="96"/>
      <c r="B8" s="96" t="s">
        <v>179</v>
      </c>
      <c r="C8" s="22" t="s">
        <v>152</v>
      </c>
      <c r="D8" s="22"/>
      <c r="E8" s="83" t="s">
        <v>65</v>
      </c>
      <c r="F8" s="22"/>
      <c r="G8" s="22"/>
      <c r="H8" s="22"/>
      <c r="I8" s="22"/>
      <c r="J8" s="22"/>
      <c r="K8" s="22"/>
      <c r="L8" s="22"/>
      <c r="M8" s="22"/>
      <c r="N8" s="22"/>
      <c r="O8" s="22"/>
    </row>
    <row r="9">
      <c r="A9" s="22"/>
      <c r="B9" s="13" t="s">
        <v>167</v>
      </c>
      <c r="C9" s="22" t="s">
        <v>153</v>
      </c>
      <c r="D9" s="82" t="s">
        <v>154</v>
      </c>
      <c r="E9" s="84" t="s">
        <v>55</v>
      </c>
      <c r="F9" s="22">
        <v>0.0</v>
      </c>
      <c r="G9" s="22">
        <v>0.0</v>
      </c>
      <c r="H9" s="22">
        <v>0.0</v>
      </c>
      <c r="I9" s="22">
        <v>0.0</v>
      </c>
      <c r="J9" s="22">
        <v>0.0</v>
      </c>
      <c r="K9" s="22">
        <v>0.0</v>
      </c>
      <c r="L9" s="22">
        <v>0.0</v>
      </c>
      <c r="M9" s="22">
        <v>0.0</v>
      </c>
      <c r="N9" s="22">
        <v>0.0</v>
      </c>
      <c r="O9" s="22">
        <v>1.0</v>
      </c>
    </row>
    <row r="10">
      <c r="A10" s="22"/>
      <c r="B10" s="22" t="s">
        <v>180</v>
      </c>
      <c r="C10" s="22" t="s">
        <v>155</v>
      </c>
      <c r="D10" s="85" t="s">
        <v>156</v>
      </c>
      <c r="E10" s="81" t="s">
        <v>65</v>
      </c>
      <c r="F10" s="22">
        <v>1.0</v>
      </c>
      <c r="G10" s="22">
        <v>1.0</v>
      </c>
      <c r="H10" s="22">
        <v>1.0</v>
      </c>
      <c r="I10" s="22">
        <v>1.0</v>
      </c>
      <c r="J10" s="22">
        <v>1.0</v>
      </c>
      <c r="K10" s="22">
        <v>1.0</v>
      </c>
      <c r="L10" s="22">
        <v>1.0</v>
      </c>
      <c r="M10" s="22">
        <v>1.0</v>
      </c>
      <c r="N10" s="86">
        <v>0.0</v>
      </c>
      <c r="O10" s="22">
        <v>0.0</v>
      </c>
    </row>
    <row r="11">
      <c r="A11" s="22"/>
      <c r="B11" s="22" t="s">
        <v>180</v>
      </c>
      <c r="C11" s="22" t="s">
        <v>157</v>
      </c>
      <c r="D11" s="87" t="s">
        <v>58</v>
      </c>
      <c r="E11" s="81" t="s">
        <v>65</v>
      </c>
    </row>
    <row r="12">
      <c r="A12" s="59"/>
      <c r="B12" s="59" t="s">
        <v>180</v>
      </c>
      <c r="C12" s="59" t="s">
        <v>158</v>
      </c>
      <c r="D12" s="88" t="s">
        <v>159</v>
      </c>
      <c r="E12" s="89" t="s">
        <v>55</v>
      </c>
      <c r="F12" s="59">
        <v>0.0</v>
      </c>
      <c r="G12" s="59">
        <v>0.0</v>
      </c>
      <c r="H12" s="59">
        <v>0.0</v>
      </c>
      <c r="I12" s="59">
        <v>0.0</v>
      </c>
      <c r="J12" s="59">
        <v>0.0</v>
      </c>
      <c r="K12" s="59">
        <v>0.0</v>
      </c>
      <c r="L12" s="59">
        <v>0.0</v>
      </c>
      <c r="M12" s="59">
        <v>0.0</v>
      </c>
      <c r="N12" s="59">
        <v>0.0</v>
      </c>
      <c r="O12" s="59">
        <v>1.0</v>
      </c>
      <c r="P12" s="19"/>
      <c r="Q12" s="19"/>
      <c r="R12" s="19"/>
      <c r="S12" s="19"/>
      <c r="T12" s="19"/>
      <c r="U12" s="19"/>
      <c r="V12" s="19"/>
      <c r="W12" s="19"/>
      <c r="X12" s="19"/>
      <c r="Y12" s="19"/>
      <c r="Z12" s="19"/>
      <c r="AA12" s="19"/>
      <c r="AB12" s="19"/>
    </row>
    <row r="14">
      <c r="A14" s="90"/>
      <c r="B14" s="90" t="s">
        <v>160</v>
      </c>
    </row>
    <row r="15">
      <c r="A15" s="23"/>
      <c r="B15" s="23" t="s">
        <v>161</v>
      </c>
      <c r="C15" s="23" t="s">
        <v>137</v>
      </c>
      <c r="D15" s="23" t="s">
        <v>138</v>
      </c>
      <c r="E15" s="23" t="s">
        <v>139</v>
      </c>
      <c r="F15" s="91" t="s">
        <v>39</v>
      </c>
      <c r="G15" s="92" t="s">
        <v>140</v>
      </c>
      <c r="H15" s="91" t="s">
        <v>141</v>
      </c>
      <c r="I15" s="91" t="s">
        <v>43</v>
      </c>
      <c r="J15" s="91" t="s">
        <v>44</v>
      </c>
      <c r="K15" s="92" t="s">
        <v>45</v>
      </c>
      <c r="L15" s="92" t="s">
        <v>46</v>
      </c>
      <c r="M15" s="91" t="s">
        <v>142</v>
      </c>
      <c r="N15" s="92" t="s">
        <v>143</v>
      </c>
      <c r="O15" s="23" t="s">
        <v>144</v>
      </c>
      <c r="P15" s="22" t="s">
        <v>162</v>
      </c>
      <c r="Q15" s="22" t="s">
        <v>163</v>
      </c>
      <c r="R15" s="22" t="s">
        <v>164</v>
      </c>
      <c r="S15" s="22" t="s">
        <v>165</v>
      </c>
    </row>
    <row r="16">
      <c r="A16" s="22"/>
      <c r="B16" s="22" t="s">
        <v>167</v>
      </c>
      <c r="C16" s="23" t="s">
        <v>168</v>
      </c>
      <c r="D16" s="82" t="s">
        <v>169</v>
      </c>
      <c r="E16" s="22" t="s">
        <v>55</v>
      </c>
      <c r="F16" s="22">
        <v>0.0</v>
      </c>
      <c r="G16" s="22">
        <v>0.0</v>
      </c>
      <c r="H16" s="22">
        <v>1.0</v>
      </c>
      <c r="I16" s="22">
        <v>0.0</v>
      </c>
      <c r="J16" s="22">
        <v>0.0</v>
      </c>
      <c r="K16" s="22">
        <v>1.0</v>
      </c>
      <c r="L16" s="22">
        <v>1.0</v>
      </c>
      <c r="M16" s="22">
        <v>1.0</v>
      </c>
      <c r="N16" s="22">
        <v>0.0</v>
      </c>
      <c r="O16" s="22">
        <v>0.0</v>
      </c>
      <c r="P16" s="22">
        <v>1.0</v>
      </c>
      <c r="Q16" s="22">
        <v>1.0</v>
      </c>
      <c r="R16" s="22">
        <v>0.0</v>
      </c>
      <c r="S16" s="22">
        <v>0.0</v>
      </c>
    </row>
    <row r="17">
      <c r="A17" s="22"/>
      <c r="B17" s="22" t="s">
        <v>167</v>
      </c>
      <c r="C17" s="23" t="s">
        <v>170</v>
      </c>
      <c r="D17" s="82" t="s">
        <v>169</v>
      </c>
      <c r="E17" s="22" t="s">
        <v>55</v>
      </c>
      <c r="F17" s="22">
        <v>1.0</v>
      </c>
      <c r="G17" s="22">
        <v>0.0</v>
      </c>
      <c r="H17" s="22">
        <v>1.0</v>
      </c>
      <c r="I17" s="22">
        <v>0.0</v>
      </c>
      <c r="J17" s="22">
        <v>0.0</v>
      </c>
      <c r="K17" s="22">
        <v>0.0</v>
      </c>
      <c r="L17" s="22">
        <v>0.0</v>
      </c>
      <c r="M17" s="22">
        <v>0.0</v>
      </c>
      <c r="N17" s="22">
        <v>0.0</v>
      </c>
      <c r="O17" s="22">
        <v>0.0</v>
      </c>
      <c r="P17" s="22">
        <v>1.0</v>
      </c>
      <c r="Q17" s="22">
        <v>0.0</v>
      </c>
      <c r="R17" s="22">
        <v>0.0</v>
      </c>
      <c r="S17" s="22">
        <v>0.0</v>
      </c>
    </row>
    <row r="18">
      <c r="A18" s="93"/>
      <c r="B18" s="93">
        <v>46055.0</v>
      </c>
      <c r="C18" s="22" t="s">
        <v>171</v>
      </c>
      <c r="D18" s="82" t="s">
        <v>172</v>
      </c>
      <c r="E18" s="22"/>
      <c r="H18" s="22">
        <v>1.0</v>
      </c>
      <c r="L18" s="22">
        <v>1.0</v>
      </c>
    </row>
    <row r="19">
      <c r="A19" s="93"/>
      <c r="B19" s="93">
        <v>46058.0</v>
      </c>
      <c r="C19" s="22" t="s">
        <v>173</v>
      </c>
      <c r="D19" s="87" t="s">
        <v>174</v>
      </c>
      <c r="E19" s="22" t="s">
        <v>65</v>
      </c>
      <c r="H19" s="22">
        <v>1.0</v>
      </c>
      <c r="L19" s="22">
        <v>1.0</v>
      </c>
    </row>
    <row r="20">
      <c r="A20" s="23"/>
      <c r="B20" s="23"/>
    </row>
    <row r="21">
      <c r="A21" s="97" t="s">
        <v>181</v>
      </c>
      <c r="C21" s="98"/>
      <c r="D21" s="82" t="s">
        <v>182</v>
      </c>
    </row>
    <row r="22">
      <c r="A22" s="23"/>
      <c r="B22" s="23"/>
      <c r="C22" s="22" t="s">
        <v>183</v>
      </c>
      <c r="D22" s="87" t="s">
        <v>174</v>
      </c>
      <c r="Q22" s="22" t="s">
        <v>184</v>
      </c>
    </row>
    <row r="23">
      <c r="A23" s="23"/>
      <c r="B23" s="23"/>
      <c r="C23" s="22" t="s">
        <v>173</v>
      </c>
      <c r="D23" s="87" t="s">
        <v>174</v>
      </c>
      <c r="Q23" s="22" t="s">
        <v>185</v>
      </c>
    </row>
    <row r="24">
      <c r="C24" s="22" t="s">
        <v>186</v>
      </c>
      <c r="D24" s="87" t="s">
        <v>174</v>
      </c>
      <c r="Q24" s="22" t="s">
        <v>187</v>
      </c>
    </row>
    <row r="25" ht="15.0" customHeight="1">
      <c r="C25" s="22" t="s">
        <v>162</v>
      </c>
      <c r="D25" s="87" t="s">
        <v>174</v>
      </c>
      <c r="Q25" s="22" t="s">
        <v>188</v>
      </c>
    </row>
    <row r="26" ht="15.0" customHeight="1">
      <c r="C26" s="22" t="s">
        <v>189</v>
      </c>
      <c r="D26" s="87" t="s">
        <v>174</v>
      </c>
      <c r="Q26" s="22" t="s">
        <v>190</v>
      </c>
    </row>
    <row r="27" ht="15.0" customHeight="1">
      <c r="C27" s="22" t="s">
        <v>101</v>
      </c>
      <c r="D27" s="87" t="s">
        <v>174</v>
      </c>
    </row>
    <row r="28" ht="15.0" customHeight="1">
      <c r="C28" s="22"/>
    </row>
    <row r="29">
      <c r="A29" s="90" t="s">
        <v>191</v>
      </c>
      <c r="D29" s="82" t="s">
        <v>192</v>
      </c>
    </row>
    <row r="30">
      <c r="A30" s="99" t="s">
        <v>193</v>
      </c>
      <c r="B30" s="22" t="s">
        <v>161</v>
      </c>
      <c r="C30" s="99" t="s">
        <v>137</v>
      </c>
      <c r="D30" s="99" t="s">
        <v>138</v>
      </c>
      <c r="E30" s="99" t="s">
        <v>139</v>
      </c>
      <c r="F30" s="100" t="s">
        <v>39</v>
      </c>
      <c r="G30" s="101" t="s">
        <v>140</v>
      </c>
      <c r="H30" s="100" t="s">
        <v>141</v>
      </c>
      <c r="I30" s="100" t="s">
        <v>43</v>
      </c>
      <c r="J30" s="100" t="s">
        <v>44</v>
      </c>
      <c r="K30" s="101" t="s">
        <v>45</v>
      </c>
      <c r="L30" s="59" t="s">
        <v>194</v>
      </c>
      <c r="M30" s="59" t="s">
        <v>195</v>
      </c>
      <c r="N30" s="59" t="s">
        <v>196</v>
      </c>
      <c r="O30" s="59" t="s">
        <v>197</v>
      </c>
      <c r="P30" s="59" t="s">
        <v>198</v>
      </c>
      <c r="Q30" s="59" t="s">
        <v>199</v>
      </c>
      <c r="R30" s="19"/>
      <c r="S30" s="19"/>
      <c r="T30" s="19"/>
      <c r="U30" s="19"/>
      <c r="V30" s="19"/>
      <c r="W30" s="19"/>
      <c r="X30" s="19"/>
      <c r="Y30" s="19"/>
      <c r="Z30" s="19"/>
      <c r="AA30" s="19"/>
      <c r="AB30" s="19"/>
    </row>
    <row r="31">
      <c r="A31" s="102" t="s">
        <v>200</v>
      </c>
      <c r="B31" s="22" t="s">
        <v>167</v>
      </c>
      <c r="C31" s="22" t="s">
        <v>201</v>
      </c>
      <c r="E31" s="22" t="s">
        <v>202</v>
      </c>
      <c r="F31" s="22">
        <v>0.0</v>
      </c>
      <c r="G31" s="22">
        <v>0.0</v>
      </c>
      <c r="H31" s="22">
        <v>1.0</v>
      </c>
      <c r="I31" s="22">
        <v>0.0</v>
      </c>
      <c r="J31" s="22">
        <v>0.0</v>
      </c>
      <c r="K31" s="22">
        <v>0.0</v>
      </c>
      <c r="L31" s="22">
        <v>1.0</v>
      </c>
      <c r="M31" s="22">
        <v>1.0</v>
      </c>
      <c r="N31" s="22">
        <v>1.0</v>
      </c>
      <c r="O31" s="22">
        <v>1.0</v>
      </c>
      <c r="P31" s="22">
        <v>0.0</v>
      </c>
      <c r="Q31" s="22">
        <v>0.0</v>
      </c>
    </row>
    <row r="32">
      <c r="A32" s="22" t="s">
        <v>200</v>
      </c>
      <c r="C32" s="22" t="s">
        <v>203</v>
      </c>
      <c r="D32" s="103" t="s">
        <v>204</v>
      </c>
      <c r="E32" s="22" t="s">
        <v>202</v>
      </c>
      <c r="F32" s="22">
        <v>0.0</v>
      </c>
      <c r="G32" s="22">
        <v>0.0</v>
      </c>
      <c r="H32" s="22">
        <v>1.0</v>
      </c>
      <c r="I32" s="22">
        <v>0.0</v>
      </c>
      <c r="J32" s="22">
        <v>0.0</v>
      </c>
      <c r="K32" s="22">
        <v>0.0</v>
      </c>
      <c r="L32" s="22">
        <v>1.0</v>
      </c>
      <c r="M32" s="22">
        <v>1.0</v>
      </c>
      <c r="N32" s="22">
        <v>1.0</v>
      </c>
      <c r="O32" s="22">
        <v>1.0</v>
      </c>
      <c r="P32" s="22">
        <v>1.0</v>
      </c>
      <c r="Q32" s="22">
        <v>1.0</v>
      </c>
    </row>
    <row r="33">
      <c r="A33" s="59" t="s">
        <v>200</v>
      </c>
      <c r="C33" s="59" t="s">
        <v>205</v>
      </c>
      <c r="D33" s="103" t="s">
        <v>204</v>
      </c>
      <c r="E33" s="19"/>
      <c r="F33" s="19"/>
      <c r="G33" s="19"/>
      <c r="H33" s="19"/>
      <c r="I33" s="19"/>
      <c r="J33" s="19"/>
      <c r="K33" s="19"/>
      <c r="L33" s="19"/>
      <c r="M33" s="19"/>
      <c r="N33" s="19"/>
      <c r="O33" s="19"/>
      <c r="P33" s="19"/>
      <c r="Q33" s="19"/>
      <c r="R33" s="19"/>
      <c r="S33" s="19"/>
      <c r="T33" s="19"/>
      <c r="U33" s="19"/>
      <c r="V33" s="19"/>
      <c r="W33" s="19"/>
      <c r="X33" s="19"/>
      <c r="Y33" s="19"/>
      <c r="Z33" s="19"/>
      <c r="AA33" s="19"/>
      <c r="AB33" s="19"/>
    </row>
    <row r="34">
      <c r="A34" s="102" t="s">
        <v>206</v>
      </c>
      <c r="B34" s="22" t="s">
        <v>167</v>
      </c>
      <c r="C34" s="22" t="s">
        <v>201</v>
      </c>
      <c r="F34" s="22">
        <v>0.0</v>
      </c>
      <c r="G34" s="22">
        <v>0.0</v>
      </c>
      <c r="H34" s="22">
        <v>1.0</v>
      </c>
      <c r="I34" s="22">
        <v>0.0</v>
      </c>
      <c r="J34" s="22">
        <v>0.0</v>
      </c>
      <c r="K34" s="22">
        <v>0.0</v>
      </c>
      <c r="L34" s="22">
        <v>1.0</v>
      </c>
      <c r="M34" s="22">
        <v>1.0</v>
      </c>
      <c r="N34" s="22">
        <v>1.0</v>
      </c>
      <c r="O34" s="22">
        <v>1.0</v>
      </c>
      <c r="P34" s="22">
        <v>0.0</v>
      </c>
      <c r="Q34" s="22">
        <v>0.0</v>
      </c>
    </row>
    <row r="35">
      <c r="A35" s="22" t="s">
        <v>206</v>
      </c>
      <c r="C35" s="22" t="s">
        <v>203</v>
      </c>
      <c r="D35" s="103" t="s">
        <v>204</v>
      </c>
      <c r="F35" s="22">
        <v>0.0</v>
      </c>
      <c r="G35" s="22">
        <v>0.0</v>
      </c>
      <c r="H35" s="22">
        <v>1.0</v>
      </c>
      <c r="I35" s="22">
        <v>0.0</v>
      </c>
      <c r="J35" s="22">
        <v>0.0</v>
      </c>
      <c r="K35" s="22">
        <v>0.0</v>
      </c>
      <c r="L35" s="22">
        <v>1.0</v>
      </c>
      <c r="M35" s="22">
        <v>1.0</v>
      </c>
      <c r="N35" s="22">
        <v>1.0</v>
      </c>
      <c r="O35" s="22">
        <v>1.0</v>
      </c>
      <c r="P35" s="22">
        <v>1.0</v>
      </c>
      <c r="Q35" s="22">
        <v>1.0</v>
      </c>
    </row>
    <row r="36">
      <c r="A36" s="59" t="s">
        <v>206</v>
      </c>
      <c r="C36" s="59" t="s">
        <v>205</v>
      </c>
      <c r="D36" s="103" t="s">
        <v>204</v>
      </c>
      <c r="E36" s="19"/>
      <c r="F36" s="19"/>
      <c r="G36" s="19"/>
      <c r="H36" s="19"/>
      <c r="I36" s="19"/>
      <c r="J36" s="19"/>
      <c r="K36" s="19"/>
      <c r="L36" s="19"/>
      <c r="M36" s="19"/>
      <c r="N36" s="19"/>
      <c r="O36" s="19"/>
      <c r="P36" s="19"/>
      <c r="Q36" s="19"/>
      <c r="R36" s="19"/>
      <c r="S36" s="19"/>
      <c r="T36" s="19"/>
      <c r="U36" s="19"/>
      <c r="V36" s="19"/>
      <c r="W36" s="19"/>
      <c r="X36" s="19"/>
      <c r="Y36" s="19"/>
      <c r="Z36" s="19"/>
      <c r="AA36" s="19"/>
      <c r="AB36" s="19"/>
    </row>
    <row r="37">
      <c r="A37" s="102" t="s">
        <v>207</v>
      </c>
      <c r="B37" s="22" t="s">
        <v>167</v>
      </c>
      <c r="C37" s="22" t="s">
        <v>201</v>
      </c>
      <c r="E37" s="22" t="s">
        <v>202</v>
      </c>
      <c r="F37" s="104">
        <v>0.0</v>
      </c>
      <c r="G37" s="104">
        <v>0.0</v>
      </c>
      <c r="H37" s="104">
        <v>1.0</v>
      </c>
      <c r="I37" s="104">
        <v>0.0</v>
      </c>
      <c r="J37" s="104">
        <v>0.0</v>
      </c>
      <c r="K37" s="104">
        <v>0.0</v>
      </c>
      <c r="L37" s="104">
        <v>1.0</v>
      </c>
      <c r="M37" s="104">
        <v>1.0</v>
      </c>
      <c r="N37" s="104">
        <v>1.0</v>
      </c>
      <c r="O37" s="104">
        <v>1.0</v>
      </c>
      <c r="P37" s="104">
        <v>0.0</v>
      </c>
      <c r="Q37" s="104">
        <v>0.0</v>
      </c>
    </row>
    <row r="38">
      <c r="A38" s="22" t="s">
        <v>207</v>
      </c>
      <c r="C38" s="22" t="s">
        <v>203</v>
      </c>
      <c r="D38" s="103" t="s">
        <v>208</v>
      </c>
      <c r="E38" s="22" t="s">
        <v>202</v>
      </c>
      <c r="F38" s="104">
        <v>0.0</v>
      </c>
      <c r="G38" s="104">
        <v>0.0</v>
      </c>
      <c r="H38" s="104">
        <v>1.0</v>
      </c>
      <c r="I38" s="104">
        <v>0.0</v>
      </c>
      <c r="J38" s="104">
        <v>0.0</v>
      </c>
      <c r="K38" s="104">
        <v>0.0</v>
      </c>
      <c r="L38" s="104">
        <v>1.0</v>
      </c>
      <c r="M38" s="104">
        <v>1.0</v>
      </c>
      <c r="N38" s="104">
        <v>1.0</v>
      </c>
      <c r="O38" s="104">
        <v>1.0</v>
      </c>
      <c r="P38" s="104">
        <v>1.0</v>
      </c>
      <c r="Q38" s="104">
        <v>1.0</v>
      </c>
    </row>
    <row r="39">
      <c r="A39" s="59" t="s">
        <v>207</v>
      </c>
      <c r="C39" s="59" t="s">
        <v>205</v>
      </c>
      <c r="D39" s="103" t="s">
        <v>208</v>
      </c>
      <c r="E39" s="22" t="s">
        <v>202</v>
      </c>
      <c r="F39" s="105"/>
      <c r="G39" s="105"/>
      <c r="H39" s="105"/>
      <c r="I39" s="105"/>
      <c r="J39" s="105"/>
      <c r="K39" s="105"/>
      <c r="L39" s="105"/>
      <c r="M39" s="105"/>
      <c r="N39" s="105"/>
      <c r="O39" s="105"/>
      <c r="P39" s="105"/>
      <c r="Q39" s="105"/>
      <c r="R39" s="19"/>
      <c r="S39" s="19"/>
      <c r="T39" s="19"/>
      <c r="U39" s="19"/>
      <c r="V39" s="19"/>
      <c r="W39" s="19"/>
      <c r="X39" s="19"/>
      <c r="Y39" s="19"/>
      <c r="Z39" s="19"/>
      <c r="AA39" s="19"/>
      <c r="AB39" s="19"/>
    </row>
    <row r="40">
      <c r="A40" s="102" t="s">
        <v>209</v>
      </c>
      <c r="B40" s="22" t="s">
        <v>167</v>
      </c>
      <c r="C40" s="22" t="s">
        <v>201</v>
      </c>
      <c r="E40" s="22" t="s">
        <v>202</v>
      </c>
      <c r="F40" s="104">
        <v>0.0</v>
      </c>
      <c r="G40" s="104">
        <v>0.0</v>
      </c>
      <c r="H40" s="104">
        <v>1.0</v>
      </c>
      <c r="I40" s="104">
        <v>0.0</v>
      </c>
      <c r="J40" s="104">
        <v>0.0</v>
      </c>
      <c r="K40" s="104">
        <v>0.0</v>
      </c>
      <c r="L40" s="104">
        <v>1.0</v>
      </c>
      <c r="M40" s="104">
        <v>1.0</v>
      </c>
      <c r="N40" s="104">
        <v>1.0</v>
      </c>
      <c r="O40" s="104">
        <v>1.0</v>
      </c>
      <c r="P40" s="104">
        <v>0.0</v>
      </c>
      <c r="Q40" s="104">
        <v>0.0</v>
      </c>
    </row>
    <row r="41">
      <c r="A41" s="22" t="s">
        <v>209</v>
      </c>
      <c r="C41" s="22" t="s">
        <v>203</v>
      </c>
      <c r="D41" s="103" t="s">
        <v>208</v>
      </c>
      <c r="E41" s="22" t="s">
        <v>202</v>
      </c>
      <c r="F41" s="104">
        <v>0.0</v>
      </c>
      <c r="G41" s="104">
        <v>0.0</v>
      </c>
      <c r="H41" s="104">
        <v>1.0</v>
      </c>
      <c r="I41" s="104">
        <v>0.0</v>
      </c>
      <c r="J41" s="104">
        <v>0.0</v>
      </c>
      <c r="K41" s="104">
        <v>0.0</v>
      </c>
      <c r="L41" s="104">
        <v>1.0</v>
      </c>
      <c r="M41" s="104">
        <v>1.0</v>
      </c>
      <c r="N41" s="104">
        <v>1.0</v>
      </c>
      <c r="O41" s="104">
        <v>1.0</v>
      </c>
      <c r="P41" s="104">
        <v>1.0</v>
      </c>
      <c r="Q41" s="104">
        <v>1.0</v>
      </c>
    </row>
    <row r="42">
      <c r="A42" s="59" t="s">
        <v>209</v>
      </c>
      <c r="C42" s="59" t="s">
        <v>205</v>
      </c>
      <c r="D42" s="103" t="s">
        <v>208</v>
      </c>
      <c r="E42" s="22" t="s">
        <v>202</v>
      </c>
      <c r="F42" s="105"/>
      <c r="G42" s="105"/>
      <c r="H42" s="105"/>
      <c r="I42" s="105"/>
      <c r="J42" s="105"/>
      <c r="K42" s="105"/>
      <c r="L42" s="105"/>
      <c r="M42" s="105"/>
      <c r="N42" s="105"/>
      <c r="O42" s="105"/>
      <c r="P42" s="105"/>
      <c r="Q42" s="105"/>
      <c r="R42" s="19"/>
      <c r="S42" s="19"/>
      <c r="T42" s="19"/>
      <c r="U42" s="19"/>
      <c r="V42" s="19"/>
      <c r="W42" s="19"/>
      <c r="X42" s="19"/>
      <c r="Y42" s="19"/>
      <c r="Z42" s="19"/>
      <c r="AA42" s="19"/>
      <c r="AB42" s="19"/>
    </row>
    <row r="43">
      <c r="A43" s="102" t="s">
        <v>210</v>
      </c>
      <c r="B43" s="22" t="s">
        <v>167</v>
      </c>
      <c r="C43" s="22" t="s">
        <v>201</v>
      </c>
      <c r="E43" s="22" t="s">
        <v>202</v>
      </c>
      <c r="F43" s="104">
        <v>0.0</v>
      </c>
      <c r="G43" s="104">
        <v>0.0</v>
      </c>
      <c r="H43" s="104">
        <v>1.0</v>
      </c>
      <c r="I43" s="104">
        <v>0.0</v>
      </c>
      <c r="J43" s="104">
        <v>0.0</v>
      </c>
      <c r="K43" s="104">
        <v>0.0</v>
      </c>
      <c r="L43" s="104">
        <v>1.0</v>
      </c>
      <c r="M43" s="104">
        <v>1.0</v>
      </c>
      <c r="N43" s="104">
        <v>1.0</v>
      </c>
      <c r="O43" s="104">
        <v>1.0</v>
      </c>
      <c r="P43" s="104">
        <v>0.0</v>
      </c>
      <c r="Q43" s="104">
        <v>0.0</v>
      </c>
    </row>
    <row r="44">
      <c r="A44" s="22" t="s">
        <v>210</v>
      </c>
      <c r="C44" s="22" t="s">
        <v>203</v>
      </c>
      <c r="D44" s="103" t="s">
        <v>208</v>
      </c>
      <c r="E44" s="22" t="s">
        <v>202</v>
      </c>
      <c r="F44" s="104">
        <v>0.0</v>
      </c>
      <c r="G44" s="104">
        <v>0.0</v>
      </c>
      <c r="H44" s="104">
        <v>1.0</v>
      </c>
      <c r="I44" s="104">
        <v>0.0</v>
      </c>
      <c r="J44" s="104">
        <v>0.0</v>
      </c>
      <c r="K44" s="104">
        <v>0.0</v>
      </c>
      <c r="L44" s="104">
        <v>1.0</v>
      </c>
      <c r="M44" s="104">
        <v>1.0</v>
      </c>
      <c r="N44" s="104">
        <v>1.0</v>
      </c>
      <c r="O44" s="104">
        <v>1.0</v>
      </c>
      <c r="P44" s="104">
        <v>1.0</v>
      </c>
      <c r="Q44" s="104">
        <v>1.0</v>
      </c>
    </row>
    <row r="45">
      <c r="A45" s="59" t="s">
        <v>210</v>
      </c>
      <c r="C45" s="59" t="s">
        <v>205</v>
      </c>
      <c r="D45" s="103" t="s">
        <v>208</v>
      </c>
      <c r="E45" s="22" t="s">
        <v>202</v>
      </c>
      <c r="F45" s="105"/>
      <c r="G45" s="105"/>
      <c r="H45" s="105"/>
      <c r="I45" s="105"/>
      <c r="J45" s="105"/>
      <c r="K45" s="105"/>
      <c r="L45" s="105"/>
      <c r="M45" s="105"/>
      <c r="N45" s="105"/>
      <c r="O45" s="105"/>
      <c r="P45" s="105"/>
      <c r="Q45" s="105"/>
      <c r="R45" s="19"/>
      <c r="S45" s="19"/>
      <c r="T45" s="19"/>
      <c r="U45" s="19"/>
      <c r="V45" s="19"/>
      <c r="W45" s="19"/>
      <c r="X45" s="19"/>
      <c r="Y45" s="19"/>
      <c r="Z45" s="19"/>
      <c r="AA45" s="19"/>
      <c r="AB45" s="19"/>
    </row>
    <row r="46">
      <c r="A46" s="102" t="s">
        <v>211</v>
      </c>
      <c r="B46" s="22" t="s">
        <v>167</v>
      </c>
      <c r="C46" s="22" t="s">
        <v>201</v>
      </c>
      <c r="E46" s="22" t="s">
        <v>212</v>
      </c>
      <c r="F46" s="104">
        <v>0.0</v>
      </c>
      <c r="G46" s="104">
        <v>0.0</v>
      </c>
      <c r="H46" s="104">
        <v>1.0</v>
      </c>
      <c r="I46" s="104">
        <v>0.0</v>
      </c>
      <c r="J46" s="104">
        <v>0.0</v>
      </c>
      <c r="K46" s="104">
        <v>0.0</v>
      </c>
      <c r="L46" s="104">
        <v>1.0</v>
      </c>
      <c r="M46" s="104">
        <v>1.0</v>
      </c>
      <c r="N46" s="104">
        <v>1.0</v>
      </c>
      <c r="O46" s="104">
        <v>1.0</v>
      </c>
      <c r="P46" s="104">
        <v>0.0</v>
      </c>
      <c r="Q46" s="104">
        <v>0.0</v>
      </c>
    </row>
    <row r="47">
      <c r="A47" s="22" t="s">
        <v>211</v>
      </c>
      <c r="C47" s="22" t="s">
        <v>203</v>
      </c>
      <c r="D47" s="103" t="s">
        <v>208</v>
      </c>
      <c r="E47" s="22" t="s">
        <v>212</v>
      </c>
      <c r="F47" s="104">
        <v>0.0</v>
      </c>
      <c r="G47" s="104">
        <v>0.0</v>
      </c>
      <c r="H47" s="104">
        <v>1.0</v>
      </c>
      <c r="I47" s="104">
        <v>0.0</v>
      </c>
      <c r="J47" s="104">
        <v>0.0</v>
      </c>
      <c r="K47" s="104">
        <v>0.0</v>
      </c>
      <c r="L47" s="104">
        <v>1.0</v>
      </c>
      <c r="M47" s="104">
        <v>1.0</v>
      </c>
      <c r="N47" s="104">
        <v>1.0</v>
      </c>
      <c r="O47" s="104">
        <v>1.0</v>
      </c>
      <c r="P47" s="104">
        <v>1.0</v>
      </c>
      <c r="Q47" s="104">
        <v>1.0</v>
      </c>
    </row>
    <row r="48">
      <c r="A48" s="22" t="s">
        <v>211</v>
      </c>
      <c r="C48" s="22" t="s">
        <v>205</v>
      </c>
      <c r="D48" s="103" t="s">
        <v>208</v>
      </c>
      <c r="E48" s="22" t="s">
        <v>212</v>
      </c>
      <c r="F48" s="105"/>
      <c r="G48" s="105"/>
      <c r="H48" s="105"/>
      <c r="I48" s="105"/>
      <c r="J48" s="105"/>
      <c r="K48" s="105"/>
      <c r="L48" s="105"/>
      <c r="M48" s="105"/>
      <c r="N48" s="105"/>
      <c r="O48" s="105"/>
      <c r="P48" s="105"/>
      <c r="Q48" s="105"/>
    </row>
    <row r="49">
      <c r="A49" s="102" t="s">
        <v>213</v>
      </c>
      <c r="B49" s="106" t="s">
        <v>214</v>
      </c>
      <c r="C49" s="22" t="s">
        <v>201</v>
      </c>
      <c r="E49" s="22" t="s">
        <v>215</v>
      </c>
      <c r="F49" s="104">
        <v>0.0</v>
      </c>
      <c r="G49" s="104">
        <v>0.0</v>
      </c>
      <c r="H49" s="104">
        <v>1.0</v>
      </c>
      <c r="I49" s="104">
        <v>0.0</v>
      </c>
      <c r="J49" s="104">
        <v>0.0</v>
      </c>
      <c r="K49" s="104">
        <v>0.0</v>
      </c>
      <c r="L49" s="104">
        <v>1.0</v>
      </c>
      <c r="M49" s="104">
        <v>1.0</v>
      </c>
      <c r="N49" s="104">
        <v>1.0</v>
      </c>
      <c r="O49" s="104">
        <v>1.0</v>
      </c>
      <c r="P49" s="104">
        <v>0.0</v>
      </c>
      <c r="Q49" s="104">
        <v>0.0</v>
      </c>
    </row>
    <row r="50">
      <c r="A50" s="22" t="s">
        <v>213</v>
      </c>
      <c r="C50" s="22" t="s">
        <v>203</v>
      </c>
      <c r="D50" s="103" t="s">
        <v>208</v>
      </c>
      <c r="E50" s="22" t="s">
        <v>215</v>
      </c>
      <c r="F50" s="104">
        <v>0.0</v>
      </c>
      <c r="G50" s="104">
        <v>0.0</v>
      </c>
      <c r="H50" s="104">
        <v>1.0</v>
      </c>
      <c r="I50" s="104">
        <v>0.0</v>
      </c>
      <c r="J50" s="104">
        <v>0.0</v>
      </c>
      <c r="K50" s="104">
        <v>0.0</v>
      </c>
      <c r="L50" s="104">
        <v>1.0</v>
      </c>
      <c r="M50" s="104">
        <v>1.0</v>
      </c>
      <c r="N50" s="104">
        <v>1.0</v>
      </c>
      <c r="O50" s="104">
        <v>1.0</v>
      </c>
      <c r="P50" s="104">
        <v>1.0</v>
      </c>
      <c r="Q50" s="104">
        <v>1.0</v>
      </c>
    </row>
    <row r="51">
      <c r="A51" s="22" t="s">
        <v>213</v>
      </c>
      <c r="C51" s="22" t="s">
        <v>205</v>
      </c>
      <c r="D51" s="103" t="s">
        <v>208</v>
      </c>
      <c r="E51" s="22" t="s">
        <v>215</v>
      </c>
      <c r="F51" s="105"/>
      <c r="G51" s="105"/>
      <c r="H51" s="105"/>
      <c r="I51" s="105"/>
      <c r="J51" s="105"/>
      <c r="K51" s="105"/>
      <c r="L51" s="105"/>
      <c r="M51" s="105"/>
      <c r="N51" s="105"/>
      <c r="O51" s="105"/>
      <c r="P51" s="105"/>
      <c r="Q51" s="105"/>
    </row>
    <row r="54">
      <c r="A54" s="90" t="s">
        <v>101</v>
      </c>
      <c r="B54" s="90" t="s">
        <v>216</v>
      </c>
      <c r="C54" s="103" t="s">
        <v>217</v>
      </c>
      <c r="D54" s="82" t="s">
        <v>182</v>
      </c>
    </row>
    <row r="55">
      <c r="A55" s="22" t="s">
        <v>161</v>
      </c>
      <c r="B55" s="22" t="s">
        <v>218</v>
      </c>
      <c r="C55" s="103" t="s">
        <v>219</v>
      </c>
    </row>
    <row r="56">
      <c r="B56" s="22" t="s">
        <v>183</v>
      </c>
      <c r="C56" s="103" t="s">
        <v>219</v>
      </c>
    </row>
    <row r="57">
      <c r="B57" s="22" t="s">
        <v>173</v>
      </c>
      <c r="C57" s="103" t="s">
        <v>219</v>
      </c>
    </row>
    <row r="58">
      <c r="B58" s="22" t="s">
        <v>186</v>
      </c>
      <c r="C58" s="103" t="s">
        <v>219</v>
      </c>
    </row>
    <row r="59">
      <c r="B59" s="22" t="s">
        <v>162</v>
      </c>
      <c r="C59" s="103" t="s">
        <v>219</v>
      </c>
    </row>
    <row r="60">
      <c r="B60" s="22" t="s">
        <v>189</v>
      </c>
      <c r="C60" s="103" t="s">
        <v>219</v>
      </c>
    </row>
    <row r="61">
      <c r="B61" s="22" t="s">
        <v>220</v>
      </c>
      <c r="C61" s="103" t="s">
        <v>219</v>
      </c>
    </row>
    <row r="63">
      <c r="B63" s="90" t="s">
        <v>221</v>
      </c>
    </row>
    <row r="64">
      <c r="B64" s="22" t="s">
        <v>222</v>
      </c>
      <c r="C64" s="103" t="s">
        <v>223</v>
      </c>
    </row>
    <row r="65">
      <c r="B65" s="22" t="s">
        <v>224</v>
      </c>
      <c r="C65" s="103" t="s">
        <v>223</v>
      </c>
    </row>
    <row r="66">
      <c r="B66" s="22" t="s">
        <v>225</v>
      </c>
      <c r="C66" s="103" t="s">
        <v>223</v>
      </c>
    </row>
    <row r="69">
      <c r="B69" s="90" t="s">
        <v>226</v>
      </c>
    </row>
    <row r="70">
      <c r="B70" s="22" t="s">
        <v>227</v>
      </c>
      <c r="C70" s="103" t="s">
        <v>219</v>
      </c>
      <c r="D70" s="82" t="s">
        <v>182</v>
      </c>
    </row>
    <row r="72">
      <c r="A72" s="90" t="s">
        <v>228</v>
      </c>
    </row>
    <row r="73">
      <c r="D73" s="103" t="s">
        <v>229</v>
      </c>
    </row>
    <row r="74">
      <c r="A74" s="23" t="s">
        <v>230</v>
      </c>
      <c r="C74" s="22" t="s">
        <v>231</v>
      </c>
    </row>
    <row r="75">
      <c r="A75" s="23" t="s">
        <v>232</v>
      </c>
      <c r="C75" s="22" t="s">
        <v>231</v>
      </c>
    </row>
    <row r="78">
      <c r="A78" s="23" t="s">
        <v>233</v>
      </c>
      <c r="B78" s="22" t="s">
        <v>208</v>
      </c>
    </row>
    <row r="79">
      <c r="B79" s="22" t="s">
        <v>234</v>
      </c>
    </row>
    <row r="81">
      <c r="A81" s="23" t="s">
        <v>235</v>
      </c>
      <c r="B81" s="22" t="s">
        <v>204</v>
      </c>
    </row>
  </sheetData>
  <dataValidations>
    <dataValidation type="list" allowBlank="1" showErrorMessage="1" sqref="E5:E12">
      <formula1>"Bulk ,Personal"</formula1>
    </dataValidation>
    <dataValidation type="list" allowBlank="1" showErrorMessage="1" sqref="A5:B12">
      <formula1>"Not yet,Sent,Should be done next time"</formula1>
    </dataValidation>
  </dataValidations>
  <hyperlinks>
    <hyperlink r:id="rId1" ref="D5"/>
    <hyperlink r:id="rId2" ref="D6"/>
    <hyperlink r:id="rId3" ref="D7"/>
    <hyperlink r:id="rId4" ref="D9"/>
    <hyperlink r:id="rId5" ref="D10"/>
    <hyperlink r:id="rId6" ref="D12"/>
    <hyperlink r:id="rId7" ref="D16"/>
    <hyperlink r:id="rId8" ref="D17"/>
    <hyperlink r:id="rId9" ref="D18"/>
    <hyperlink r:id="rId10" ref="D21"/>
    <hyperlink r:id="rId11" location="gid=0" ref="D29"/>
    <hyperlink r:id="rId12" ref="D54"/>
    <hyperlink r:id="rId13" ref="D70"/>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4.75"/>
  </cols>
  <sheetData>
    <row r="1">
      <c r="A1" s="22" t="s">
        <v>236</v>
      </c>
    </row>
    <row r="3">
      <c r="A3" s="22" t="s">
        <v>232</v>
      </c>
    </row>
    <row r="5">
      <c r="A5" s="22" t="s">
        <v>237</v>
      </c>
      <c r="B5" s="22" t="s">
        <v>238</v>
      </c>
      <c r="C5" s="22" t="s">
        <v>239</v>
      </c>
    </row>
    <row r="6">
      <c r="A6" s="22" t="s">
        <v>240</v>
      </c>
      <c r="C6" s="22" t="s">
        <v>239</v>
      </c>
    </row>
    <row r="8">
      <c r="A8" s="22" t="s">
        <v>241</v>
      </c>
      <c r="B8" s="22" t="s">
        <v>242</v>
      </c>
    </row>
    <row r="11">
      <c r="A11" s="107">
        <v>46105.0</v>
      </c>
      <c r="B11" s="22" t="s">
        <v>243</v>
      </c>
    </row>
    <row r="12">
      <c r="A12" s="22" t="s">
        <v>244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 customWidth="1" min="2" max="3" width="19.63"/>
    <col customWidth="1" min="4" max="4" width="18.13"/>
    <col customWidth="1" min="7" max="7" width="17.38"/>
    <col customWidth="1" min="8" max="8" width="23.63"/>
    <col customWidth="1" min="9" max="9" width="24.0"/>
    <col customWidth="1" min="10" max="10" width="27.25"/>
  </cols>
  <sheetData>
    <row r="1">
      <c r="A1" s="108" t="s">
        <v>245</v>
      </c>
      <c r="B1" s="109" t="s">
        <v>246</v>
      </c>
      <c r="C1" s="110" t="s">
        <v>247</v>
      </c>
      <c r="D1" s="111" t="s">
        <v>248</v>
      </c>
      <c r="E1" s="109" t="s">
        <v>102</v>
      </c>
      <c r="F1" s="109" t="s">
        <v>249</v>
      </c>
      <c r="G1" s="109" t="s">
        <v>99</v>
      </c>
      <c r="H1" s="112" t="s">
        <v>250</v>
      </c>
      <c r="J1" s="67"/>
      <c r="K1" s="113" t="s">
        <v>251</v>
      </c>
    </row>
    <row r="2">
      <c r="A2" s="114" t="s">
        <v>252</v>
      </c>
      <c r="B2" s="14"/>
      <c r="C2" s="38"/>
      <c r="D2" s="38"/>
      <c r="E2" s="38"/>
      <c r="F2" s="38"/>
      <c r="G2" s="38"/>
      <c r="H2" s="38"/>
      <c r="I2" s="39"/>
      <c r="J2" s="67"/>
    </row>
    <row r="3">
      <c r="A3" s="115">
        <v>46080.0</v>
      </c>
      <c r="C3" s="76" t="s">
        <v>253</v>
      </c>
      <c r="D3" s="103"/>
      <c r="E3" s="22"/>
      <c r="F3" s="22"/>
      <c r="G3" s="22"/>
      <c r="H3" s="71"/>
      <c r="J3" s="67"/>
      <c r="K3" s="67"/>
    </row>
    <row r="4">
      <c r="A4" s="72" t="s">
        <v>254</v>
      </c>
      <c r="B4" s="22" t="s">
        <v>253</v>
      </c>
      <c r="C4" s="76"/>
      <c r="D4" s="103"/>
      <c r="E4" s="22"/>
      <c r="F4" s="22"/>
      <c r="G4" s="22"/>
      <c r="H4" s="71"/>
      <c r="J4" s="67"/>
      <c r="K4" s="67"/>
    </row>
    <row r="5">
      <c r="A5" s="72" t="s">
        <v>255</v>
      </c>
      <c r="B5" s="22"/>
      <c r="C5" s="76"/>
      <c r="D5" s="103" t="s">
        <v>256</v>
      </c>
      <c r="E5" s="22" t="s">
        <v>253</v>
      </c>
      <c r="F5" s="22" t="s">
        <v>257</v>
      </c>
      <c r="G5" s="22" t="s">
        <v>258</v>
      </c>
      <c r="H5" s="71" t="s">
        <v>253</v>
      </c>
      <c r="J5" s="67"/>
      <c r="K5" s="103" t="s">
        <v>253</v>
      </c>
    </row>
    <row r="6">
      <c r="A6" s="73" t="s">
        <v>259</v>
      </c>
      <c r="B6" s="19"/>
      <c r="C6" s="116"/>
      <c r="D6" s="117"/>
      <c r="E6" s="59" t="s">
        <v>253</v>
      </c>
      <c r="F6" s="19"/>
      <c r="G6" s="19"/>
      <c r="H6" s="20"/>
      <c r="J6" s="67"/>
      <c r="K6" s="118"/>
    </row>
    <row r="7">
      <c r="A7" s="119" t="s">
        <v>260</v>
      </c>
      <c r="B7" s="14"/>
      <c r="C7" s="14"/>
      <c r="D7" s="120"/>
      <c r="E7" s="121" t="s">
        <v>253</v>
      </c>
      <c r="F7" s="14"/>
      <c r="G7" s="14"/>
      <c r="H7" s="15"/>
      <c r="J7" s="67"/>
      <c r="K7" s="122"/>
    </row>
    <row r="8">
      <c r="A8" s="123" t="s">
        <v>261</v>
      </c>
      <c r="B8" s="124" t="s">
        <v>262</v>
      </c>
      <c r="C8" s="124" t="s">
        <v>263</v>
      </c>
      <c r="D8" s="125"/>
      <c r="E8" s="124" t="s">
        <v>263</v>
      </c>
      <c r="F8" s="124" t="s">
        <v>263</v>
      </c>
      <c r="G8" s="124" t="s">
        <v>263</v>
      </c>
      <c r="H8" s="126" t="s">
        <v>263</v>
      </c>
      <c r="J8" s="67"/>
      <c r="K8" s="68"/>
    </row>
    <row r="9">
      <c r="A9" s="127">
        <v>46086.0</v>
      </c>
      <c r="D9" s="125"/>
      <c r="H9" s="17"/>
      <c r="J9" s="67"/>
      <c r="K9" s="68"/>
    </row>
    <row r="10">
      <c r="A10" s="128">
        <v>46087.0</v>
      </c>
      <c r="B10" s="124" t="s">
        <v>264</v>
      </c>
      <c r="C10" s="124" t="s">
        <v>264</v>
      </c>
      <c r="D10" s="125"/>
      <c r="E10" s="124" t="s">
        <v>264</v>
      </c>
      <c r="F10" s="124" t="s">
        <v>264</v>
      </c>
      <c r="G10" s="124" t="s">
        <v>264</v>
      </c>
      <c r="H10" s="126" t="s">
        <v>264</v>
      </c>
      <c r="J10" s="67"/>
      <c r="K10" s="68"/>
    </row>
    <row r="11">
      <c r="A11" s="127">
        <v>46088.0</v>
      </c>
      <c r="D11" s="125"/>
      <c r="H11" s="17"/>
      <c r="K11" s="68"/>
    </row>
    <row r="12">
      <c r="A12" s="129" t="s">
        <v>265</v>
      </c>
      <c r="D12" s="125"/>
      <c r="H12" s="17"/>
      <c r="K12" s="68"/>
    </row>
    <row r="13">
      <c r="A13" s="130" t="s">
        <v>266</v>
      </c>
      <c r="B13" s="14"/>
      <c r="C13" s="38"/>
      <c r="D13" s="38"/>
      <c r="E13" s="38"/>
      <c r="F13" s="38"/>
      <c r="G13" s="38"/>
      <c r="H13" s="38"/>
      <c r="I13" s="39"/>
      <c r="K13" s="68"/>
    </row>
    <row r="14">
      <c r="A14" s="72" t="s">
        <v>267</v>
      </c>
      <c r="B14" s="22"/>
      <c r="C14" s="76"/>
      <c r="D14" s="103" t="s">
        <v>253</v>
      </c>
      <c r="E14" s="22" t="s">
        <v>253</v>
      </c>
      <c r="F14" s="22" t="s">
        <v>253</v>
      </c>
      <c r="G14" s="22" t="s">
        <v>253</v>
      </c>
      <c r="H14" s="71" t="s">
        <v>253</v>
      </c>
      <c r="J14" s="22" t="s">
        <v>268</v>
      </c>
      <c r="K14" s="131" t="s">
        <v>269</v>
      </c>
    </row>
    <row r="15">
      <c r="A15" s="72" t="s">
        <v>270</v>
      </c>
      <c r="C15" s="77"/>
      <c r="D15" s="125"/>
      <c r="F15" s="22" t="s">
        <v>253</v>
      </c>
      <c r="G15" s="22" t="s">
        <v>253</v>
      </c>
      <c r="H15" s="71" t="s">
        <v>253</v>
      </c>
      <c r="J15" s="67"/>
      <c r="K15" s="68"/>
    </row>
    <row r="16">
      <c r="A16" s="72" t="s">
        <v>271</v>
      </c>
      <c r="C16" s="77"/>
      <c r="D16" s="125"/>
      <c r="G16" s="22" t="s">
        <v>253</v>
      </c>
      <c r="H16" s="17"/>
      <c r="J16" s="67"/>
      <c r="K16" s="68"/>
    </row>
    <row r="17">
      <c r="A17" s="72" t="s">
        <v>272</v>
      </c>
      <c r="B17" s="106"/>
      <c r="C17" s="76"/>
      <c r="D17" s="103" t="s">
        <v>253</v>
      </c>
      <c r="E17" s="22" t="s">
        <v>253</v>
      </c>
      <c r="F17" s="22" t="s">
        <v>253</v>
      </c>
      <c r="G17" s="22" t="s">
        <v>253</v>
      </c>
      <c r="H17" s="71" t="s">
        <v>253</v>
      </c>
      <c r="J17" s="67"/>
      <c r="K17" s="103" t="s">
        <v>253</v>
      </c>
    </row>
    <row r="18">
      <c r="A18" s="73" t="s">
        <v>273</v>
      </c>
      <c r="B18" s="19"/>
      <c r="C18" s="116"/>
      <c r="D18" s="117"/>
      <c r="E18" s="59" t="s">
        <v>253</v>
      </c>
      <c r="F18" s="19"/>
      <c r="G18" s="19"/>
      <c r="H18" s="20"/>
      <c r="J18" s="67"/>
      <c r="K18" s="118"/>
    </row>
    <row r="19">
      <c r="A19" s="114" t="s">
        <v>274</v>
      </c>
      <c r="B19" s="14"/>
      <c r="C19" s="38"/>
      <c r="D19" s="38"/>
      <c r="E19" s="38"/>
      <c r="F19" s="38"/>
      <c r="G19" s="38"/>
      <c r="H19" s="38"/>
      <c r="I19" s="39"/>
      <c r="J19" s="67"/>
    </row>
    <row r="20">
      <c r="A20" s="72" t="s">
        <v>275</v>
      </c>
      <c r="B20" s="22"/>
      <c r="C20" s="76"/>
      <c r="D20" s="103" t="s">
        <v>253</v>
      </c>
      <c r="F20" s="22" t="s">
        <v>253</v>
      </c>
      <c r="G20" s="22" t="s">
        <v>253</v>
      </c>
      <c r="H20" s="71" t="s">
        <v>253</v>
      </c>
      <c r="J20" s="67"/>
      <c r="K20" s="103" t="s">
        <v>253</v>
      </c>
    </row>
    <row r="21">
      <c r="A21" s="72" t="s">
        <v>276</v>
      </c>
      <c r="C21" s="77"/>
      <c r="D21" s="125"/>
      <c r="F21" s="22" t="s">
        <v>253</v>
      </c>
      <c r="G21" s="22" t="s">
        <v>253</v>
      </c>
      <c r="H21" s="71" t="s">
        <v>253</v>
      </c>
      <c r="J21" s="67"/>
      <c r="K21" s="68"/>
    </row>
    <row r="22">
      <c r="A22" s="72" t="s">
        <v>277</v>
      </c>
      <c r="C22" s="77"/>
      <c r="D22" s="125"/>
      <c r="G22" s="22" t="s">
        <v>253</v>
      </c>
      <c r="H22" s="17"/>
      <c r="J22" s="67"/>
      <c r="K22" s="68"/>
    </row>
    <row r="23">
      <c r="A23" s="72" t="s">
        <v>278</v>
      </c>
      <c r="C23" s="77"/>
      <c r="D23" s="125"/>
      <c r="F23" s="22" t="s">
        <v>253</v>
      </c>
      <c r="H23" s="17"/>
      <c r="J23" s="67"/>
      <c r="K23" s="68"/>
    </row>
    <row r="24">
      <c r="A24" s="123" t="s">
        <v>279</v>
      </c>
      <c r="B24" s="106"/>
      <c r="C24" s="76"/>
      <c r="D24" s="103" t="s">
        <v>253</v>
      </c>
      <c r="E24" s="22" t="s">
        <v>253</v>
      </c>
      <c r="F24" s="22" t="s">
        <v>253</v>
      </c>
      <c r="G24" s="22" t="s">
        <v>253</v>
      </c>
      <c r="H24" s="71" t="s">
        <v>253</v>
      </c>
      <c r="J24" s="67"/>
      <c r="K24" s="103" t="s">
        <v>253</v>
      </c>
    </row>
    <row r="25">
      <c r="A25" s="73" t="s">
        <v>280</v>
      </c>
      <c r="B25" s="19"/>
      <c r="C25" s="116"/>
      <c r="D25" s="117"/>
      <c r="E25" s="19"/>
      <c r="F25" s="59" t="s">
        <v>253</v>
      </c>
      <c r="G25" s="19"/>
      <c r="H25" s="20"/>
      <c r="J25" s="67"/>
      <c r="K25" s="118"/>
    </row>
    <row r="26">
      <c r="A26" s="114" t="s">
        <v>281</v>
      </c>
      <c r="B26" s="132"/>
      <c r="C26" s="38"/>
      <c r="D26" s="38"/>
      <c r="E26" s="38"/>
      <c r="F26" s="38"/>
      <c r="G26" s="38"/>
      <c r="H26" s="38"/>
      <c r="I26" s="39"/>
      <c r="J26" s="67"/>
    </row>
    <row r="27">
      <c r="A27" s="72" t="s">
        <v>282</v>
      </c>
      <c r="B27" s="29"/>
      <c r="C27" s="133"/>
      <c r="D27" s="134"/>
      <c r="F27" s="22" t="s">
        <v>253</v>
      </c>
      <c r="G27" s="22" t="s">
        <v>253</v>
      </c>
      <c r="H27" s="71" t="s">
        <v>253</v>
      </c>
      <c r="I27" s="67"/>
      <c r="J27" s="22" t="s">
        <v>283</v>
      </c>
      <c r="K27" s="103" t="s">
        <v>253</v>
      </c>
    </row>
    <row r="28">
      <c r="A28" s="72" t="s">
        <v>284</v>
      </c>
      <c r="B28" s="16"/>
      <c r="C28" s="77"/>
      <c r="D28" s="125"/>
      <c r="F28" s="22" t="s">
        <v>253</v>
      </c>
      <c r="H28" s="71" t="s">
        <v>253</v>
      </c>
      <c r="K28" s="68"/>
    </row>
    <row r="29">
      <c r="A29" s="72" t="s">
        <v>285</v>
      </c>
      <c r="B29" s="16"/>
      <c r="C29" s="77"/>
      <c r="D29" s="125"/>
      <c r="E29" s="22" t="s">
        <v>253</v>
      </c>
      <c r="H29" s="17"/>
      <c r="K29" s="68"/>
      <c r="L29" s="135" t="s">
        <v>286</v>
      </c>
    </row>
    <row r="30">
      <c r="A30" s="136" t="s">
        <v>287</v>
      </c>
      <c r="B30" s="137"/>
      <c r="C30" s="116"/>
      <c r="D30" s="117"/>
      <c r="E30" s="19"/>
      <c r="F30" s="59" t="s">
        <v>253</v>
      </c>
      <c r="G30" s="59" t="s">
        <v>253</v>
      </c>
      <c r="H30" s="138" t="s">
        <v>253</v>
      </c>
      <c r="K30" s="103" t="s">
        <v>253</v>
      </c>
    </row>
    <row r="31">
      <c r="A31" s="114" t="s">
        <v>288</v>
      </c>
      <c r="C31" s="14"/>
      <c r="D31" s="120"/>
      <c r="E31" s="14"/>
      <c r="F31" s="14"/>
      <c r="G31" s="14"/>
      <c r="H31" s="15"/>
      <c r="J31" s="67"/>
    </row>
    <row r="32">
      <c r="A32" s="72" t="s">
        <v>289</v>
      </c>
      <c r="B32" s="22"/>
      <c r="C32" s="77"/>
      <c r="D32" s="125"/>
      <c r="E32" s="22" t="s">
        <v>253</v>
      </c>
      <c r="H32" s="17"/>
      <c r="I32" s="67"/>
      <c r="J32" s="22" t="s">
        <v>290</v>
      </c>
      <c r="K32" s="103" t="s">
        <v>253</v>
      </c>
    </row>
    <row r="33">
      <c r="A33" s="72" t="s">
        <v>291</v>
      </c>
      <c r="C33" s="76"/>
      <c r="D33" s="103" t="s">
        <v>253</v>
      </c>
      <c r="F33" s="22" t="s">
        <v>253</v>
      </c>
      <c r="G33" s="22" t="s">
        <v>253</v>
      </c>
      <c r="H33" s="71" t="s">
        <v>253</v>
      </c>
      <c r="J33" s="67"/>
      <c r="K33" s="68"/>
    </row>
    <row r="34">
      <c r="A34" s="72" t="s">
        <v>292</v>
      </c>
      <c r="C34" s="77"/>
      <c r="D34" s="125"/>
      <c r="F34" s="22" t="s">
        <v>253</v>
      </c>
      <c r="H34" s="17"/>
      <c r="J34" s="67"/>
      <c r="K34" s="68"/>
    </row>
    <row r="35">
      <c r="A35" s="72" t="s">
        <v>293</v>
      </c>
      <c r="C35" s="77"/>
      <c r="D35" s="125"/>
      <c r="E35" s="22" t="s">
        <v>253</v>
      </c>
      <c r="H35" s="17"/>
      <c r="J35" s="67"/>
      <c r="K35" s="68"/>
    </row>
    <row r="36">
      <c r="A36" s="139">
        <v>46128.0</v>
      </c>
      <c r="B36" s="106"/>
      <c r="C36" s="77"/>
      <c r="D36" s="125"/>
      <c r="E36" s="22"/>
      <c r="H36" s="17"/>
      <c r="J36" s="67"/>
      <c r="K36" s="67"/>
    </row>
    <row r="37">
      <c r="A37" s="140" t="s">
        <v>294</v>
      </c>
      <c r="B37" s="106"/>
      <c r="C37" s="77"/>
      <c r="D37" s="117"/>
      <c r="E37" s="59" t="s">
        <v>253</v>
      </c>
      <c r="F37" s="19"/>
      <c r="G37" s="19"/>
      <c r="H37" s="20"/>
      <c r="J37" s="67"/>
      <c r="K37" s="103" t="s">
        <v>253</v>
      </c>
    </row>
    <row r="38">
      <c r="A38" s="141" t="s">
        <v>295</v>
      </c>
      <c r="B38" s="14"/>
      <c r="C38" s="38"/>
      <c r="D38" s="38"/>
      <c r="E38" s="38"/>
      <c r="F38" s="38"/>
      <c r="G38" s="38"/>
      <c r="H38" s="38"/>
      <c r="I38" s="39"/>
      <c r="J38" s="67"/>
    </row>
    <row r="39">
      <c r="A39" s="72" t="s">
        <v>296</v>
      </c>
      <c r="B39" s="22"/>
      <c r="C39" s="76"/>
      <c r="D39" s="103" t="s">
        <v>253</v>
      </c>
      <c r="F39" s="22" t="s">
        <v>253</v>
      </c>
      <c r="H39" s="71" t="s">
        <v>253</v>
      </c>
      <c r="I39" s="67"/>
      <c r="J39" s="142" t="s">
        <v>297</v>
      </c>
      <c r="K39" s="103" t="s">
        <v>253</v>
      </c>
    </row>
    <row r="40">
      <c r="A40" s="72" t="s">
        <v>298</v>
      </c>
      <c r="C40" s="76"/>
      <c r="D40" s="103" t="s">
        <v>253</v>
      </c>
      <c r="F40" s="22" t="s">
        <v>253</v>
      </c>
      <c r="H40" s="17"/>
      <c r="J40" s="67"/>
      <c r="K40" s="68"/>
    </row>
    <row r="41">
      <c r="A41" s="72" t="s">
        <v>299</v>
      </c>
      <c r="C41" s="76"/>
      <c r="D41" s="103" t="s">
        <v>253</v>
      </c>
      <c r="G41" s="22" t="s">
        <v>253</v>
      </c>
      <c r="H41" s="17"/>
      <c r="J41" s="67"/>
      <c r="K41" s="68"/>
    </row>
    <row r="42">
      <c r="A42" s="72" t="s">
        <v>300</v>
      </c>
      <c r="B42" s="22"/>
      <c r="C42" s="76"/>
      <c r="D42" s="103" t="s">
        <v>253</v>
      </c>
      <c r="F42" s="22" t="s">
        <v>253</v>
      </c>
      <c r="H42" s="71" t="s">
        <v>253</v>
      </c>
      <c r="J42" s="67"/>
      <c r="K42" s="103" t="s">
        <v>253</v>
      </c>
    </row>
    <row r="43">
      <c r="A43" s="72" t="s">
        <v>301</v>
      </c>
      <c r="C43" s="76"/>
      <c r="D43" s="103" t="s">
        <v>253</v>
      </c>
      <c r="F43" s="22" t="s">
        <v>253</v>
      </c>
      <c r="H43" s="71" t="s">
        <v>253</v>
      </c>
      <c r="J43" s="67"/>
      <c r="K43" s="68"/>
    </row>
    <row r="44">
      <c r="A44" s="73" t="s">
        <v>302</v>
      </c>
      <c r="B44" s="19"/>
      <c r="C44" s="143"/>
      <c r="D44" s="144" t="s">
        <v>253</v>
      </c>
      <c r="E44" s="19"/>
      <c r="F44" s="59" t="s">
        <v>253</v>
      </c>
      <c r="G44" s="19"/>
      <c r="H44" s="138" t="s">
        <v>253</v>
      </c>
      <c r="J44" s="67"/>
      <c r="K44" s="118"/>
    </row>
    <row r="45">
      <c r="A45" s="145"/>
      <c r="C45" s="77"/>
      <c r="D45" s="68"/>
      <c r="J45" s="67"/>
    </row>
    <row r="46">
      <c r="A46" s="146" t="s">
        <v>303</v>
      </c>
      <c r="B46" s="147"/>
      <c r="C46" s="77"/>
      <c r="D46" s="68"/>
      <c r="E46" s="147" t="s">
        <v>253</v>
      </c>
      <c r="G46" s="147" t="s">
        <v>253</v>
      </c>
      <c r="J46" s="67"/>
    </row>
    <row r="47">
      <c r="C47" s="77"/>
      <c r="D47" s="68"/>
      <c r="J47" s="67"/>
    </row>
    <row r="48">
      <c r="A48" s="148" t="s">
        <v>304</v>
      </c>
      <c r="B48" s="82" t="s">
        <v>305</v>
      </c>
      <c r="C48" s="77"/>
      <c r="D48" s="68"/>
      <c r="J48" s="67"/>
    </row>
    <row r="49">
      <c r="A49" s="145" t="s">
        <v>306</v>
      </c>
      <c r="C49" s="77"/>
      <c r="D49" s="68"/>
      <c r="J49" s="67"/>
    </row>
    <row r="50">
      <c r="C50" s="77"/>
      <c r="D50" s="68"/>
      <c r="J50" s="67"/>
    </row>
    <row r="51">
      <c r="A51" s="148" t="s">
        <v>307</v>
      </c>
      <c r="C51" s="77"/>
      <c r="D51" s="68"/>
      <c r="J51" s="67"/>
    </row>
    <row r="52">
      <c r="C52" s="77"/>
      <c r="D52" s="68"/>
      <c r="E52" s="23" t="s">
        <v>308</v>
      </c>
      <c r="J52" s="67"/>
    </row>
    <row r="53">
      <c r="B53" s="22" t="s">
        <v>309</v>
      </c>
      <c r="C53" s="103" t="s">
        <v>310</v>
      </c>
      <c r="D53" s="77"/>
      <c r="E53" s="103" t="s">
        <v>311</v>
      </c>
      <c r="F53" s="22" t="s">
        <v>312</v>
      </c>
      <c r="G53" s="22" t="s">
        <v>313</v>
      </c>
      <c r="J53" s="67"/>
    </row>
    <row r="54">
      <c r="C54" s="68"/>
      <c r="D54" s="77"/>
      <c r="E54" s="103" t="s">
        <v>99</v>
      </c>
      <c r="F54" s="22" t="s">
        <v>314</v>
      </c>
      <c r="G54" s="22" t="s">
        <v>315</v>
      </c>
      <c r="H54" s="22" t="s">
        <v>316</v>
      </c>
      <c r="J54" s="67"/>
    </row>
    <row r="55">
      <c r="C55" s="68"/>
      <c r="D55" s="77"/>
      <c r="E55" s="103" t="s">
        <v>102</v>
      </c>
      <c r="F55" s="22" t="s">
        <v>317</v>
      </c>
      <c r="J55" s="67"/>
    </row>
    <row r="56">
      <c r="B56" s="22" t="s">
        <v>318</v>
      </c>
      <c r="C56" s="68"/>
      <c r="D56" s="77"/>
      <c r="E56" s="68"/>
    </row>
    <row r="57">
      <c r="C57" s="68"/>
      <c r="D57" s="77"/>
      <c r="E57" s="68"/>
    </row>
    <row r="58">
      <c r="B58" s="22" t="s">
        <v>319</v>
      </c>
      <c r="C58" s="68"/>
      <c r="D58" s="77"/>
      <c r="E58" s="68"/>
    </row>
    <row r="59">
      <c r="C59" s="68"/>
      <c r="D59" s="77"/>
      <c r="E59" s="68"/>
    </row>
    <row r="60">
      <c r="B60" s="22" t="s">
        <v>320</v>
      </c>
      <c r="C60" s="68"/>
      <c r="D60" s="77"/>
      <c r="E60" s="68"/>
    </row>
    <row r="61">
      <c r="C61" s="68"/>
      <c r="D61" s="77"/>
      <c r="E61" s="68"/>
    </row>
    <row r="62">
      <c r="B62" s="124" t="s">
        <v>321</v>
      </c>
      <c r="C62" s="68"/>
      <c r="D62" s="77"/>
      <c r="E62" s="68"/>
    </row>
    <row r="63">
      <c r="C63" s="87" t="s">
        <v>322</v>
      </c>
      <c r="D63" s="77"/>
      <c r="E63" s="68"/>
    </row>
    <row r="64">
      <c r="B64" s="22" t="s">
        <v>323</v>
      </c>
      <c r="C64" s="68"/>
      <c r="D64" s="77"/>
      <c r="E64" s="68"/>
    </row>
    <row r="65">
      <c r="C65" s="68"/>
      <c r="D65" s="77"/>
      <c r="E65" s="68"/>
    </row>
    <row r="66">
      <c r="B66" s="22" t="s">
        <v>324</v>
      </c>
      <c r="C66" s="68"/>
      <c r="D66" s="77"/>
      <c r="E66" s="68"/>
    </row>
    <row r="67">
      <c r="B67" s="23"/>
      <c r="C67" s="68"/>
      <c r="D67" s="77"/>
      <c r="E67" s="68"/>
    </row>
    <row r="68">
      <c r="C68" s="68"/>
      <c r="D68" s="77"/>
      <c r="E68" s="68"/>
    </row>
    <row r="69">
      <c r="B69" s="23" t="s">
        <v>325</v>
      </c>
      <c r="C69" s="68"/>
      <c r="D69" s="77"/>
      <c r="E69" s="68"/>
    </row>
    <row r="70">
      <c r="C70" s="68"/>
      <c r="D70" s="77"/>
      <c r="E70" s="68"/>
    </row>
    <row r="71">
      <c r="C71" s="68"/>
      <c r="D71" s="77"/>
      <c r="E71" s="68"/>
    </row>
    <row r="72">
      <c r="C72" s="68"/>
      <c r="D72" s="77"/>
      <c r="E72" s="68"/>
    </row>
    <row r="73">
      <c r="C73" s="68"/>
      <c r="D73" s="77"/>
      <c r="E73" s="68"/>
    </row>
    <row r="74">
      <c r="C74" s="68"/>
      <c r="D74" s="77"/>
      <c r="E74" s="68"/>
    </row>
    <row r="75">
      <c r="C75" s="68"/>
      <c r="D75" s="77"/>
      <c r="E75" s="68"/>
    </row>
    <row r="76">
      <c r="C76" s="68"/>
      <c r="D76" s="77"/>
      <c r="E76" s="68"/>
    </row>
    <row r="77">
      <c r="C77" s="68"/>
      <c r="D77" s="77"/>
      <c r="E77" s="68"/>
    </row>
    <row r="78">
      <c r="C78" s="68"/>
      <c r="D78" s="77"/>
      <c r="E78" s="68"/>
    </row>
    <row r="79">
      <c r="C79" s="68"/>
      <c r="D79" s="77"/>
      <c r="E79" s="68"/>
    </row>
    <row r="80">
      <c r="C80" s="68"/>
      <c r="D80" s="77"/>
      <c r="E80" s="68"/>
    </row>
    <row r="81">
      <c r="C81" s="68"/>
      <c r="D81" s="77"/>
      <c r="E81" s="68"/>
    </row>
    <row r="82">
      <c r="C82" s="68"/>
      <c r="D82" s="77"/>
      <c r="E82" s="68"/>
    </row>
    <row r="83">
      <c r="C83" s="68"/>
      <c r="D83" s="77"/>
      <c r="E83" s="68"/>
    </row>
    <row r="84">
      <c r="C84" s="68"/>
      <c r="D84" s="77"/>
      <c r="E84" s="68"/>
    </row>
    <row r="85">
      <c r="C85" s="68"/>
      <c r="D85" s="77"/>
      <c r="E85" s="68"/>
    </row>
    <row r="86">
      <c r="C86" s="68"/>
      <c r="D86" s="77"/>
      <c r="E86" s="68"/>
    </row>
    <row r="87">
      <c r="C87" s="68"/>
      <c r="D87" s="77"/>
      <c r="E87" s="68"/>
    </row>
    <row r="88">
      <c r="C88" s="68"/>
      <c r="D88" s="77"/>
      <c r="E88" s="68"/>
    </row>
    <row r="89">
      <c r="C89" s="68"/>
      <c r="D89" s="77"/>
      <c r="E89" s="68"/>
    </row>
    <row r="90">
      <c r="C90" s="68"/>
      <c r="D90" s="77"/>
      <c r="E90" s="68"/>
    </row>
    <row r="91">
      <c r="C91" s="68"/>
      <c r="D91" s="77"/>
      <c r="E91" s="68"/>
    </row>
    <row r="92">
      <c r="C92" s="68"/>
      <c r="D92" s="77"/>
      <c r="E92" s="68"/>
    </row>
    <row r="93">
      <c r="C93" s="68"/>
      <c r="D93" s="77"/>
      <c r="E93" s="68"/>
    </row>
    <row r="94">
      <c r="C94" s="68"/>
      <c r="D94" s="77"/>
      <c r="E94" s="68"/>
    </row>
    <row r="95">
      <c r="C95" s="68"/>
      <c r="D95" s="77"/>
      <c r="E95" s="68"/>
    </row>
    <row r="96">
      <c r="C96" s="68"/>
      <c r="D96" s="77"/>
      <c r="E96" s="68"/>
    </row>
    <row r="97">
      <c r="C97" s="68"/>
      <c r="D97" s="77"/>
      <c r="E97" s="68"/>
    </row>
    <row r="98">
      <c r="C98" s="68"/>
      <c r="D98" s="77"/>
      <c r="E98" s="68"/>
    </row>
    <row r="99">
      <c r="C99" s="68"/>
      <c r="D99" s="77"/>
      <c r="E99" s="68"/>
    </row>
    <row r="100">
      <c r="C100" s="68"/>
      <c r="D100" s="77"/>
      <c r="E100" s="68"/>
    </row>
    <row r="101">
      <c r="C101" s="68"/>
      <c r="D101" s="77"/>
      <c r="E101" s="68"/>
    </row>
    <row r="102">
      <c r="C102" s="68"/>
      <c r="D102" s="77"/>
      <c r="E102" s="68"/>
    </row>
    <row r="103">
      <c r="C103" s="68"/>
      <c r="D103" s="77"/>
      <c r="E103" s="68"/>
    </row>
    <row r="104">
      <c r="C104" s="68"/>
      <c r="D104" s="77"/>
      <c r="E104" s="68"/>
    </row>
    <row r="105">
      <c r="C105" s="68"/>
      <c r="D105" s="77"/>
      <c r="E105" s="68"/>
    </row>
    <row r="106">
      <c r="C106" s="68"/>
      <c r="D106" s="77"/>
      <c r="E106" s="68"/>
    </row>
    <row r="107">
      <c r="C107" s="68"/>
      <c r="D107" s="77"/>
      <c r="E107" s="68"/>
    </row>
    <row r="108">
      <c r="C108" s="68"/>
      <c r="D108" s="77"/>
      <c r="E108" s="68"/>
    </row>
    <row r="109">
      <c r="C109" s="68"/>
      <c r="D109" s="77"/>
      <c r="E109" s="68"/>
    </row>
    <row r="110">
      <c r="C110" s="68"/>
      <c r="D110" s="77"/>
      <c r="E110" s="68"/>
    </row>
    <row r="111">
      <c r="C111" s="68"/>
      <c r="D111" s="77"/>
      <c r="E111" s="68"/>
    </row>
    <row r="112">
      <c r="C112" s="68"/>
      <c r="D112" s="77"/>
      <c r="E112" s="68"/>
    </row>
    <row r="113">
      <c r="C113" s="68"/>
      <c r="D113" s="77"/>
      <c r="E113" s="68"/>
    </row>
    <row r="114">
      <c r="C114" s="68"/>
      <c r="D114" s="77"/>
      <c r="E114" s="68"/>
    </row>
    <row r="115">
      <c r="C115" s="68"/>
      <c r="D115" s="77"/>
      <c r="E115" s="68"/>
    </row>
    <row r="116">
      <c r="C116" s="68"/>
      <c r="D116" s="77"/>
      <c r="E116" s="68"/>
    </row>
    <row r="117">
      <c r="C117" s="68"/>
      <c r="D117" s="77"/>
      <c r="E117" s="68"/>
    </row>
    <row r="118">
      <c r="C118" s="68"/>
      <c r="D118" s="77"/>
      <c r="E118" s="68"/>
    </row>
    <row r="119">
      <c r="C119" s="68"/>
      <c r="D119" s="77"/>
      <c r="E119" s="68"/>
    </row>
    <row r="120">
      <c r="C120" s="68"/>
      <c r="D120" s="77"/>
      <c r="E120" s="68"/>
    </row>
    <row r="121">
      <c r="C121" s="68"/>
      <c r="D121" s="77"/>
      <c r="E121" s="68"/>
    </row>
    <row r="122">
      <c r="C122" s="68"/>
      <c r="D122" s="77"/>
      <c r="E122" s="68"/>
    </row>
    <row r="123">
      <c r="C123" s="68"/>
      <c r="D123" s="77"/>
      <c r="E123" s="68"/>
    </row>
    <row r="124">
      <c r="C124" s="68"/>
      <c r="D124" s="77"/>
      <c r="E124" s="68"/>
    </row>
    <row r="125">
      <c r="C125" s="68"/>
      <c r="D125" s="77"/>
      <c r="E125" s="68"/>
    </row>
    <row r="126">
      <c r="C126" s="68"/>
      <c r="D126" s="77"/>
      <c r="E126" s="68"/>
    </row>
    <row r="127">
      <c r="C127" s="68"/>
      <c r="D127" s="77"/>
      <c r="E127" s="68"/>
    </row>
    <row r="128">
      <c r="C128" s="68"/>
      <c r="D128" s="77"/>
      <c r="E128" s="68"/>
    </row>
    <row r="129">
      <c r="C129" s="68"/>
      <c r="D129" s="77"/>
      <c r="E129" s="68"/>
    </row>
    <row r="130">
      <c r="C130" s="68"/>
      <c r="D130" s="77"/>
      <c r="E130" s="68"/>
    </row>
    <row r="131">
      <c r="C131" s="68"/>
      <c r="D131" s="77"/>
      <c r="E131" s="68"/>
    </row>
    <row r="132">
      <c r="C132" s="68"/>
      <c r="D132" s="77"/>
      <c r="E132" s="68"/>
    </row>
    <row r="133">
      <c r="C133" s="68"/>
      <c r="D133" s="77"/>
      <c r="E133" s="68"/>
    </row>
    <row r="134">
      <c r="C134" s="68"/>
      <c r="D134" s="77"/>
      <c r="E134" s="68"/>
    </row>
    <row r="135">
      <c r="C135" s="68"/>
      <c r="D135" s="77"/>
      <c r="E135" s="68"/>
    </row>
    <row r="136">
      <c r="C136" s="68"/>
      <c r="D136" s="77"/>
      <c r="E136" s="68"/>
    </row>
    <row r="137">
      <c r="C137" s="68"/>
      <c r="D137" s="77"/>
      <c r="E137" s="68"/>
    </row>
    <row r="138">
      <c r="C138" s="68"/>
      <c r="D138" s="77"/>
      <c r="E138" s="68"/>
    </row>
    <row r="139">
      <c r="C139" s="68"/>
      <c r="D139" s="77"/>
      <c r="E139" s="68"/>
    </row>
    <row r="140">
      <c r="C140" s="68"/>
      <c r="D140" s="77"/>
      <c r="E140" s="68"/>
    </row>
    <row r="141">
      <c r="C141" s="68"/>
      <c r="D141" s="77"/>
      <c r="E141" s="68"/>
    </row>
    <row r="142">
      <c r="C142" s="68"/>
      <c r="D142" s="77"/>
      <c r="E142" s="68"/>
    </row>
    <row r="143">
      <c r="C143" s="68"/>
      <c r="D143" s="77"/>
      <c r="E143" s="68"/>
    </row>
    <row r="144">
      <c r="C144" s="68"/>
      <c r="D144" s="77"/>
      <c r="E144" s="68"/>
    </row>
    <row r="145">
      <c r="C145" s="68"/>
      <c r="D145" s="77"/>
      <c r="E145" s="68"/>
    </row>
    <row r="146">
      <c r="C146" s="68"/>
      <c r="D146" s="77"/>
      <c r="E146" s="68"/>
    </row>
    <row r="147">
      <c r="C147" s="68"/>
      <c r="D147" s="77"/>
      <c r="E147" s="68"/>
    </row>
    <row r="148">
      <c r="C148" s="68"/>
      <c r="D148" s="77"/>
      <c r="E148" s="68"/>
    </row>
    <row r="149">
      <c r="C149" s="68"/>
      <c r="D149" s="77"/>
      <c r="E149" s="68"/>
    </row>
    <row r="150">
      <c r="C150" s="68"/>
      <c r="D150" s="77"/>
      <c r="E150" s="68"/>
    </row>
    <row r="151">
      <c r="C151" s="68"/>
      <c r="D151" s="77"/>
      <c r="E151" s="68"/>
    </row>
    <row r="152">
      <c r="C152" s="68"/>
      <c r="D152" s="77"/>
      <c r="E152" s="68"/>
    </row>
    <row r="153">
      <c r="C153" s="68"/>
      <c r="D153" s="77"/>
      <c r="E153" s="68"/>
    </row>
    <row r="154">
      <c r="C154" s="68"/>
      <c r="D154" s="77"/>
      <c r="E154" s="68"/>
    </row>
    <row r="155">
      <c r="C155" s="68"/>
      <c r="D155" s="77"/>
      <c r="E155" s="68"/>
    </row>
    <row r="156">
      <c r="C156" s="68"/>
      <c r="D156" s="77"/>
      <c r="E156" s="68"/>
    </row>
    <row r="157">
      <c r="C157" s="68"/>
      <c r="D157" s="77"/>
      <c r="E157" s="68"/>
    </row>
    <row r="158">
      <c r="C158" s="68"/>
      <c r="D158" s="77"/>
      <c r="E158" s="68"/>
    </row>
    <row r="159">
      <c r="C159" s="68"/>
      <c r="D159" s="77"/>
      <c r="E159" s="68"/>
    </row>
    <row r="160">
      <c r="C160" s="68"/>
      <c r="D160" s="77"/>
      <c r="E160" s="68"/>
    </row>
    <row r="161">
      <c r="C161" s="68"/>
      <c r="D161" s="77"/>
      <c r="E161" s="68"/>
    </row>
    <row r="162">
      <c r="C162" s="68"/>
      <c r="D162" s="77"/>
      <c r="E162" s="68"/>
    </row>
    <row r="163">
      <c r="C163" s="68"/>
      <c r="D163" s="77"/>
      <c r="E163" s="68"/>
    </row>
    <row r="164">
      <c r="C164" s="68"/>
      <c r="D164" s="77"/>
      <c r="E164" s="68"/>
    </row>
    <row r="165">
      <c r="C165" s="68"/>
      <c r="D165" s="77"/>
      <c r="E165" s="68"/>
    </row>
    <row r="166">
      <c r="C166" s="68"/>
      <c r="D166" s="77"/>
      <c r="E166" s="68"/>
    </row>
    <row r="167">
      <c r="C167" s="68"/>
      <c r="D167" s="77"/>
      <c r="E167" s="68"/>
    </row>
    <row r="168">
      <c r="C168" s="68"/>
      <c r="D168" s="77"/>
      <c r="E168" s="68"/>
    </row>
    <row r="169">
      <c r="C169" s="68"/>
      <c r="D169" s="77"/>
      <c r="E169" s="68"/>
    </row>
    <row r="170">
      <c r="C170" s="68"/>
      <c r="D170" s="77"/>
      <c r="E170" s="68"/>
    </row>
    <row r="171">
      <c r="C171" s="68"/>
      <c r="D171" s="77"/>
      <c r="E171" s="68"/>
    </row>
    <row r="172">
      <c r="C172" s="68"/>
      <c r="D172" s="77"/>
      <c r="E172" s="68"/>
    </row>
    <row r="173">
      <c r="C173" s="68"/>
      <c r="D173" s="77"/>
      <c r="E173" s="68"/>
    </row>
    <row r="174">
      <c r="C174" s="68"/>
      <c r="D174" s="77"/>
      <c r="E174" s="68"/>
    </row>
    <row r="175">
      <c r="C175" s="68"/>
      <c r="D175" s="77"/>
      <c r="E175" s="68"/>
    </row>
    <row r="176">
      <c r="C176" s="68"/>
      <c r="D176" s="77"/>
      <c r="E176" s="68"/>
    </row>
    <row r="177">
      <c r="C177" s="68"/>
      <c r="D177" s="77"/>
      <c r="E177" s="68"/>
    </row>
    <row r="178">
      <c r="C178" s="68"/>
      <c r="D178" s="77"/>
      <c r="E178" s="68"/>
    </row>
    <row r="179">
      <c r="C179" s="68"/>
      <c r="D179" s="77"/>
      <c r="E179" s="68"/>
    </row>
    <row r="180">
      <c r="C180" s="68"/>
      <c r="D180" s="77"/>
      <c r="E180" s="68"/>
    </row>
    <row r="181">
      <c r="C181" s="68"/>
      <c r="D181" s="77"/>
      <c r="E181" s="68"/>
    </row>
    <row r="182">
      <c r="C182" s="68"/>
      <c r="D182" s="77"/>
      <c r="E182" s="68"/>
    </row>
    <row r="183">
      <c r="C183" s="68"/>
      <c r="D183" s="77"/>
      <c r="E183" s="68"/>
    </row>
    <row r="184">
      <c r="C184" s="68"/>
      <c r="D184" s="77"/>
      <c r="E184" s="68"/>
    </row>
    <row r="185">
      <c r="C185" s="68"/>
      <c r="D185" s="77"/>
      <c r="E185" s="68"/>
    </row>
    <row r="186">
      <c r="C186" s="68"/>
      <c r="D186" s="77"/>
      <c r="E186" s="68"/>
    </row>
    <row r="187">
      <c r="C187" s="68"/>
      <c r="D187" s="77"/>
      <c r="E187" s="68"/>
    </row>
    <row r="188">
      <c r="C188" s="68"/>
      <c r="D188" s="77"/>
      <c r="E188" s="68"/>
    </row>
    <row r="189">
      <c r="C189" s="68"/>
      <c r="D189" s="77"/>
      <c r="E189" s="68"/>
    </row>
    <row r="190">
      <c r="C190" s="68"/>
      <c r="D190" s="77"/>
      <c r="E190" s="68"/>
    </row>
    <row r="191">
      <c r="C191" s="68"/>
      <c r="D191" s="77"/>
      <c r="E191" s="68"/>
    </row>
    <row r="192">
      <c r="C192" s="68"/>
      <c r="D192" s="77"/>
      <c r="E192" s="68"/>
    </row>
    <row r="193">
      <c r="C193" s="68"/>
      <c r="D193" s="77"/>
      <c r="E193" s="68"/>
    </row>
    <row r="194">
      <c r="C194" s="68"/>
      <c r="D194" s="77"/>
      <c r="E194" s="68"/>
    </row>
    <row r="195">
      <c r="C195" s="68"/>
      <c r="D195" s="77"/>
      <c r="E195" s="68"/>
    </row>
    <row r="196">
      <c r="C196" s="68"/>
      <c r="D196" s="77"/>
      <c r="E196" s="68"/>
    </row>
    <row r="197">
      <c r="C197" s="68"/>
      <c r="D197" s="77"/>
      <c r="E197" s="68"/>
    </row>
    <row r="198">
      <c r="C198" s="68"/>
      <c r="D198" s="77"/>
      <c r="E198" s="68"/>
    </row>
    <row r="199">
      <c r="C199" s="68"/>
      <c r="D199" s="77"/>
      <c r="E199" s="68"/>
    </row>
    <row r="200">
      <c r="C200" s="68"/>
      <c r="D200" s="77"/>
      <c r="E200" s="68"/>
    </row>
    <row r="201">
      <c r="C201" s="68"/>
      <c r="D201" s="77"/>
      <c r="E201" s="68"/>
    </row>
    <row r="202">
      <c r="C202" s="68"/>
      <c r="D202" s="77"/>
      <c r="E202" s="68"/>
    </row>
    <row r="203">
      <c r="C203" s="68"/>
      <c r="D203" s="77"/>
      <c r="E203" s="68"/>
    </row>
    <row r="204">
      <c r="C204" s="68"/>
      <c r="D204" s="77"/>
      <c r="E204" s="68"/>
    </row>
    <row r="205">
      <c r="C205" s="68"/>
      <c r="D205" s="77"/>
      <c r="E205" s="68"/>
    </row>
    <row r="206">
      <c r="C206" s="68"/>
      <c r="D206" s="77"/>
      <c r="E206" s="68"/>
    </row>
    <row r="207">
      <c r="C207" s="68"/>
      <c r="D207" s="77"/>
      <c r="E207" s="68"/>
    </row>
    <row r="208">
      <c r="C208" s="68"/>
      <c r="D208" s="77"/>
      <c r="E208" s="68"/>
    </row>
    <row r="209">
      <c r="C209" s="68"/>
      <c r="D209" s="77"/>
      <c r="E209" s="68"/>
    </row>
    <row r="210">
      <c r="C210" s="68"/>
      <c r="D210" s="77"/>
      <c r="E210" s="68"/>
    </row>
    <row r="211">
      <c r="C211" s="68"/>
      <c r="D211" s="77"/>
      <c r="E211" s="68"/>
    </row>
    <row r="212">
      <c r="C212" s="68"/>
      <c r="D212" s="77"/>
      <c r="E212" s="68"/>
    </row>
    <row r="213">
      <c r="C213" s="68"/>
      <c r="D213" s="77"/>
      <c r="E213" s="68"/>
    </row>
    <row r="214">
      <c r="C214" s="68"/>
      <c r="D214" s="77"/>
      <c r="E214" s="68"/>
    </row>
    <row r="215">
      <c r="C215" s="68"/>
      <c r="D215" s="77"/>
      <c r="E215" s="68"/>
    </row>
    <row r="216">
      <c r="C216" s="68"/>
      <c r="D216" s="77"/>
      <c r="E216" s="68"/>
    </row>
    <row r="217">
      <c r="C217" s="68"/>
      <c r="D217" s="77"/>
      <c r="E217" s="68"/>
    </row>
    <row r="218">
      <c r="C218" s="68"/>
      <c r="D218" s="77"/>
      <c r="E218" s="68"/>
    </row>
    <row r="219">
      <c r="C219" s="68"/>
      <c r="D219" s="77"/>
      <c r="E219" s="68"/>
    </row>
    <row r="220">
      <c r="C220" s="68"/>
      <c r="D220" s="77"/>
      <c r="E220" s="68"/>
    </row>
    <row r="221">
      <c r="C221" s="68"/>
      <c r="D221" s="77"/>
      <c r="E221" s="68"/>
    </row>
    <row r="222">
      <c r="C222" s="68"/>
      <c r="D222" s="77"/>
      <c r="E222" s="68"/>
    </row>
    <row r="223">
      <c r="C223" s="68"/>
      <c r="D223" s="77"/>
      <c r="E223" s="68"/>
    </row>
    <row r="224">
      <c r="C224" s="68"/>
      <c r="D224" s="77"/>
      <c r="E224" s="68"/>
    </row>
    <row r="225">
      <c r="C225" s="68"/>
      <c r="D225" s="77"/>
      <c r="E225" s="68"/>
    </row>
    <row r="226">
      <c r="C226" s="68"/>
      <c r="D226" s="77"/>
      <c r="E226" s="68"/>
    </row>
    <row r="227">
      <c r="C227" s="68"/>
      <c r="D227" s="77"/>
      <c r="E227" s="68"/>
    </row>
    <row r="228">
      <c r="C228" s="68"/>
      <c r="D228" s="77"/>
      <c r="E228" s="68"/>
    </row>
    <row r="229">
      <c r="C229" s="68"/>
      <c r="D229" s="77"/>
      <c r="E229" s="68"/>
    </row>
    <row r="230">
      <c r="C230" s="68"/>
      <c r="D230" s="77"/>
      <c r="E230" s="68"/>
    </row>
    <row r="231">
      <c r="C231" s="68"/>
      <c r="D231" s="77"/>
      <c r="E231" s="68"/>
    </row>
    <row r="232">
      <c r="C232" s="68"/>
      <c r="D232" s="77"/>
      <c r="E232" s="68"/>
    </row>
    <row r="233">
      <c r="C233" s="68"/>
      <c r="D233" s="77"/>
      <c r="E233" s="68"/>
    </row>
    <row r="234">
      <c r="C234" s="68"/>
      <c r="D234" s="77"/>
      <c r="E234" s="68"/>
    </row>
    <row r="235">
      <c r="C235" s="68"/>
      <c r="D235" s="77"/>
      <c r="E235" s="68"/>
    </row>
    <row r="236">
      <c r="C236" s="68"/>
      <c r="D236" s="77"/>
      <c r="E236" s="68"/>
    </row>
    <row r="237">
      <c r="C237" s="68"/>
      <c r="D237" s="77"/>
      <c r="E237" s="68"/>
    </row>
    <row r="238">
      <c r="C238" s="68"/>
      <c r="D238" s="77"/>
      <c r="E238" s="68"/>
    </row>
    <row r="239">
      <c r="C239" s="68"/>
      <c r="D239" s="77"/>
      <c r="E239" s="68"/>
    </row>
    <row r="240">
      <c r="C240" s="68"/>
      <c r="D240" s="77"/>
      <c r="E240" s="68"/>
    </row>
    <row r="241">
      <c r="C241" s="68"/>
      <c r="D241" s="77"/>
      <c r="E241" s="68"/>
    </row>
    <row r="242">
      <c r="C242" s="68"/>
      <c r="D242" s="77"/>
      <c r="E242" s="68"/>
    </row>
    <row r="243">
      <c r="C243" s="68"/>
      <c r="D243" s="77"/>
      <c r="E243" s="68"/>
    </row>
    <row r="244">
      <c r="C244" s="68"/>
      <c r="D244" s="77"/>
      <c r="E244" s="68"/>
    </row>
    <row r="245">
      <c r="C245" s="68"/>
      <c r="D245" s="77"/>
      <c r="E245" s="68"/>
    </row>
    <row r="246">
      <c r="C246" s="68"/>
      <c r="D246" s="77"/>
      <c r="E246" s="68"/>
    </row>
    <row r="247">
      <c r="C247" s="68"/>
      <c r="D247" s="77"/>
      <c r="E247" s="68"/>
    </row>
    <row r="248">
      <c r="C248" s="68"/>
      <c r="D248" s="77"/>
      <c r="E248" s="68"/>
    </row>
    <row r="249">
      <c r="C249" s="68"/>
      <c r="D249" s="77"/>
      <c r="E249" s="68"/>
    </row>
    <row r="250">
      <c r="C250" s="68"/>
      <c r="D250" s="77"/>
      <c r="E250" s="68"/>
    </row>
    <row r="251">
      <c r="C251" s="68"/>
      <c r="D251" s="77"/>
      <c r="E251" s="68"/>
    </row>
    <row r="252">
      <c r="C252" s="68"/>
      <c r="D252" s="77"/>
      <c r="E252" s="68"/>
    </row>
    <row r="253">
      <c r="C253" s="68"/>
      <c r="D253" s="77"/>
      <c r="E253" s="68"/>
    </row>
    <row r="254">
      <c r="C254" s="68"/>
      <c r="D254" s="77"/>
      <c r="E254" s="68"/>
    </row>
    <row r="255">
      <c r="C255" s="68"/>
      <c r="D255" s="77"/>
      <c r="E255" s="68"/>
    </row>
    <row r="256">
      <c r="C256" s="68"/>
      <c r="D256" s="77"/>
      <c r="E256" s="68"/>
    </row>
    <row r="257">
      <c r="C257" s="68"/>
      <c r="D257" s="77"/>
      <c r="E257" s="68"/>
    </row>
    <row r="258">
      <c r="C258" s="68"/>
      <c r="D258" s="77"/>
      <c r="E258" s="68"/>
    </row>
    <row r="259">
      <c r="C259" s="68"/>
      <c r="D259" s="77"/>
      <c r="E259" s="68"/>
    </row>
    <row r="260">
      <c r="C260" s="68"/>
      <c r="D260" s="77"/>
      <c r="E260" s="68"/>
    </row>
    <row r="261">
      <c r="C261" s="68"/>
      <c r="D261" s="77"/>
      <c r="E261" s="68"/>
    </row>
    <row r="262">
      <c r="C262" s="68"/>
      <c r="D262" s="77"/>
      <c r="E262" s="68"/>
    </row>
    <row r="263">
      <c r="C263" s="68"/>
      <c r="D263" s="77"/>
      <c r="E263" s="68"/>
    </row>
    <row r="264">
      <c r="C264" s="68"/>
      <c r="D264" s="77"/>
      <c r="E264" s="68"/>
    </row>
    <row r="265">
      <c r="C265" s="68"/>
      <c r="D265" s="77"/>
      <c r="E265" s="68"/>
    </row>
    <row r="266">
      <c r="C266" s="68"/>
      <c r="D266" s="77"/>
      <c r="E266" s="68"/>
    </row>
    <row r="267">
      <c r="C267" s="68"/>
      <c r="D267" s="77"/>
      <c r="E267" s="68"/>
    </row>
    <row r="268">
      <c r="C268" s="68"/>
      <c r="D268" s="77"/>
      <c r="E268" s="68"/>
    </row>
    <row r="269">
      <c r="C269" s="68"/>
      <c r="D269" s="77"/>
      <c r="E269" s="68"/>
    </row>
    <row r="270">
      <c r="C270" s="68"/>
      <c r="D270" s="77"/>
      <c r="E270" s="68"/>
    </row>
    <row r="271">
      <c r="C271" s="68"/>
      <c r="D271" s="77"/>
      <c r="E271" s="68"/>
    </row>
    <row r="272">
      <c r="C272" s="68"/>
      <c r="D272" s="77"/>
      <c r="E272" s="68"/>
    </row>
    <row r="273">
      <c r="C273" s="68"/>
      <c r="D273" s="77"/>
      <c r="E273" s="68"/>
    </row>
    <row r="274">
      <c r="C274" s="68"/>
      <c r="D274" s="77"/>
      <c r="E274" s="68"/>
    </row>
    <row r="275">
      <c r="C275" s="68"/>
      <c r="D275" s="77"/>
      <c r="E275" s="68"/>
    </row>
    <row r="276">
      <c r="C276" s="68"/>
      <c r="D276" s="77"/>
      <c r="E276" s="68"/>
    </row>
    <row r="277">
      <c r="C277" s="68"/>
      <c r="D277" s="77"/>
      <c r="E277" s="68"/>
    </row>
    <row r="278">
      <c r="C278" s="68"/>
      <c r="D278" s="77"/>
      <c r="E278" s="68"/>
    </row>
    <row r="279">
      <c r="C279" s="68"/>
      <c r="D279" s="77"/>
      <c r="E279" s="68"/>
    </row>
    <row r="280">
      <c r="C280" s="68"/>
      <c r="D280" s="77"/>
      <c r="E280" s="68"/>
    </row>
    <row r="281">
      <c r="C281" s="68"/>
      <c r="D281" s="77"/>
      <c r="E281" s="68"/>
    </row>
    <row r="282">
      <c r="C282" s="68"/>
      <c r="D282" s="77"/>
      <c r="E282" s="68"/>
    </row>
    <row r="283">
      <c r="C283" s="68"/>
      <c r="D283" s="77"/>
      <c r="E283" s="68"/>
    </row>
    <row r="284">
      <c r="C284" s="68"/>
      <c r="D284" s="77"/>
      <c r="E284" s="68"/>
    </row>
    <row r="285">
      <c r="C285" s="68"/>
      <c r="D285" s="77"/>
      <c r="E285" s="68"/>
    </row>
    <row r="286">
      <c r="C286" s="68"/>
      <c r="D286" s="77"/>
      <c r="E286" s="68"/>
    </row>
    <row r="287">
      <c r="C287" s="68"/>
      <c r="D287" s="77"/>
      <c r="E287" s="68"/>
    </row>
    <row r="288">
      <c r="C288" s="68"/>
      <c r="D288" s="77"/>
      <c r="E288" s="68"/>
    </row>
    <row r="289">
      <c r="C289" s="68"/>
      <c r="D289" s="77"/>
      <c r="E289" s="68"/>
    </row>
    <row r="290">
      <c r="C290" s="68"/>
      <c r="D290" s="77"/>
      <c r="E290" s="68"/>
    </row>
    <row r="291">
      <c r="C291" s="68"/>
      <c r="D291" s="77"/>
      <c r="E291" s="68"/>
    </row>
    <row r="292">
      <c r="C292" s="68"/>
      <c r="D292" s="77"/>
      <c r="E292" s="68"/>
    </row>
    <row r="293">
      <c r="C293" s="68"/>
      <c r="D293" s="77"/>
      <c r="E293" s="68"/>
    </row>
    <row r="294">
      <c r="C294" s="68"/>
      <c r="D294" s="77"/>
      <c r="E294" s="68"/>
    </row>
    <row r="295">
      <c r="C295" s="68"/>
      <c r="D295" s="77"/>
      <c r="E295" s="68"/>
    </row>
    <row r="296">
      <c r="C296" s="68"/>
      <c r="D296" s="77"/>
      <c r="E296" s="68"/>
    </row>
    <row r="297">
      <c r="C297" s="68"/>
      <c r="D297" s="77"/>
      <c r="E297" s="68"/>
    </row>
    <row r="298">
      <c r="C298" s="68"/>
      <c r="D298" s="77"/>
      <c r="E298" s="68"/>
    </row>
    <row r="299">
      <c r="C299" s="68"/>
      <c r="D299" s="77"/>
      <c r="E299" s="68"/>
    </row>
    <row r="300">
      <c r="C300" s="68"/>
      <c r="D300" s="77"/>
      <c r="E300" s="68"/>
    </row>
    <row r="301">
      <c r="C301" s="68"/>
      <c r="D301" s="77"/>
      <c r="E301" s="68"/>
    </row>
    <row r="302">
      <c r="C302" s="68"/>
      <c r="D302" s="77"/>
      <c r="E302" s="68"/>
    </row>
    <row r="303">
      <c r="C303" s="68"/>
      <c r="D303" s="77"/>
      <c r="E303" s="68"/>
    </row>
    <row r="304">
      <c r="C304" s="68"/>
      <c r="D304" s="77"/>
      <c r="E304" s="68"/>
    </row>
    <row r="305">
      <c r="C305" s="68"/>
      <c r="D305" s="77"/>
      <c r="E305" s="68"/>
    </row>
    <row r="306">
      <c r="C306" s="68"/>
      <c r="D306" s="77"/>
      <c r="E306" s="68"/>
    </row>
    <row r="307">
      <c r="C307" s="68"/>
      <c r="D307" s="77"/>
      <c r="E307" s="68"/>
    </row>
    <row r="308">
      <c r="C308" s="68"/>
      <c r="D308" s="77"/>
      <c r="E308" s="68"/>
    </row>
    <row r="309">
      <c r="C309" s="68"/>
      <c r="D309" s="77"/>
      <c r="E309" s="68"/>
    </row>
    <row r="310">
      <c r="C310" s="68"/>
      <c r="D310" s="77"/>
      <c r="E310" s="68"/>
    </row>
    <row r="311">
      <c r="C311" s="68"/>
      <c r="D311" s="77"/>
      <c r="E311" s="68"/>
    </row>
    <row r="312">
      <c r="C312" s="68"/>
      <c r="D312" s="77"/>
      <c r="E312" s="68"/>
    </row>
    <row r="313">
      <c r="C313" s="68"/>
      <c r="D313" s="77"/>
      <c r="E313" s="68"/>
    </row>
    <row r="314">
      <c r="C314" s="68"/>
      <c r="D314" s="77"/>
      <c r="E314" s="68"/>
    </row>
    <row r="315">
      <c r="C315" s="68"/>
      <c r="D315" s="77"/>
      <c r="E315" s="68"/>
    </row>
    <row r="316">
      <c r="C316" s="68"/>
      <c r="D316" s="77"/>
      <c r="E316" s="68"/>
    </row>
    <row r="317">
      <c r="C317" s="68"/>
      <c r="D317" s="77"/>
      <c r="E317" s="68"/>
    </row>
    <row r="318">
      <c r="C318" s="68"/>
      <c r="D318" s="77"/>
      <c r="E318" s="68"/>
    </row>
    <row r="319">
      <c r="C319" s="68"/>
      <c r="D319" s="77"/>
      <c r="E319" s="68"/>
    </row>
    <row r="320">
      <c r="C320" s="68"/>
      <c r="D320" s="77"/>
      <c r="E320" s="68"/>
    </row>
    <row r="321">
      <c r="C321" s="68"/>
      <c r="D321" s="77"/>
      <c r="E321" s="68"/>
    </row>
    <row r="322">
      <c r="C322" s="68"/>
      <c r="D322" s="77"/>
      <c r="E322" s="68"/>
    </row>
    <row r="323">
      <c r="C323" s="68"/>
      <c r="D323" s="77"/>
      <c r="E323" s="68"/>
    </row>
    <row r="324">
      <c r="C324" s="68"/>
      <c r="D324" s="77"/>
      <c r="E324" s="68"/>
    </row>
    <row r="325">
      <c r="C325" s="68"/>
      <c r="D325" s="77"/>
      <c r="E325" s="68"/>
    </row>
    <row r="326">
      <c r="C326" s="68"/>
      <c r="D326" s="77"/>
      <c r="E326" s="68"/>
    </row>
    <row r="327">
      <c r="C327" s="68"/>
      <c r="D327" s="77"/>
      <c r="E327" s="68"/>
    </row>
    <row r="328">
      <c r="C328" s="68"/>
      <c r="D328" s="77"/>
      <c r="E328" s="68"/>
    </row>
    <row r="329">
      <c r="C329" s="68"/>
      <c r="D329" s="77"/>
      <c r="E329" s="68"/>
    </row>
    <row r="330">
      <c r="C330" s="68"/>
      <c r="D330" s="77"/>
      <c r="E330" s="68"/>
    </row>
    <row r="331">
      <c r="C331" s="68"/>
      <c r="D331" s="77"/>
      <c r="E331" s="68"/>
    </row>
    <row r="332">
      <c r="C332" s="68"/>
      <c r="D332" s="77"/>
      <c r="E332" s="68"/>
    </row>
    <row r="333">
      <c r="C333" s="68"/>
      <c r="D333" s="77"/>
      <c r="E333" s="68"/>
    </row>
    <row r="334">
      <c r="C334" s="68"/>
      <c r="D334" s="77"/>
      <c r="E334" s="68"/>
    </row>
    <row r="335">
      <c r="C335" s="68"/>
      <c r="D335" s="77"/>
      <c r="E335" s="68"/>
    </row>
    <row r="336">
      <c r="C336" s="68"/>
      <c r="D336" s="77"/>
      <c r="E336" s="68"/>
    </row>
    <row r="337">
      <c r="C337" s="68"/>
      <c r="D337" s="77"/>
      <c r="E337" s="68"/>
    </row>
    <row r="338">
      <c r="C338" s="68"/>
      <c r="D338" s="77"/>
      <c r="E338" s="68"/>
    </row>
    <row r="339">
      <c r="C339" s="68"/>
      <c r="D339" s="77"/>
      <c r="E339" s="68"/>
    </row>
    <row r="340">
      <c r="C340" s="68"/>
      <c r="D340" s="77"/>
      <c r="E340" s="68"/>
    </row>
    <row r="341">
      <c r="C341" s="68"/>
      <c r="D341" s="77"/>
      <c r="E341" s="68"/>
    </row>
    <row r="342">
      <c r="C342" s="68"/>
      <c r="D342" s="77"/>
      <c r="E342" s="68"/>
    </row>
    <row r="343">
      <c r="C343" s="68"/>
      <c r="D343" s="77"/>
      <c r="E343" s="68"/>
    </row>
    <row r="344">
      <c r="C344" s="68"/>
      <c r="D344" s="77"/>
      <c r="E344" s="68"/>
    </row>
    <row r="345">
      <c r="C345" s="68"/>
      <c r="D345" s="77"/>
      <c r="E345" s="68"/>
    </row>
    <row r="346">
      <c r="C346" s="68"/>
      <c r="D346" s="77"/>
      <c r="E346" s="68"/>
    </row>
    <row r="347">
      <c r="C347" s="68"/>
      <c r="D347" s="77"/>
      <c r="E347" s="68"/>
    </row>
    <row r="348">
      <c r="C348" s="68"/>
      <c r="D348" s="77"/>
      <c r="E348" s="68"/>
    </row>
    <row r="349">
      <c r="C349" s="68"/>
      <c r="D349" s="77"/>
      <c r="E349" s="68"/>
    </row>
    <row r="350">
      <c r="C350" s="68"/>
      <c r="D350" s="77"/>
      <c r="E350" s="68"/>
    </row>
    <row r="351">
      <c r="C351" s="68"/>
      <c r="D351" s="77"/>
      <c r="E351" s="68"/>
    </row>
    <row r="352">
      <c r="C352" s="68"/>
      <c r="D352" s="77"/>
      <c r="E352" s="68"/>
    </row>
    <row r="353">
      <c r="C353" s="68"/>
      <c r="D353" s="77"/>
      <c r="E353" s="68"/>
    </row>
    <row r="354">
      <c r="C354" s="68"/>
      <c r="D354" s="77"/>
      <c r="E354" s="68"/>
    </row>
    <row r="355">
      <c r="C355" s="68"/>
      <c r="D355" s="77"/>
      <c r="E355" s="68"/>
    </row>
    <row r="356">
      <c r="C356" s="68"/>
      <c r="D356" s="77"/>
      <c r="E356" s="68"/>
    </row>
    <row r="357">
      <c r="C357" s="68"/>
      <c r="D357" s="77"/>
      <c r="E357" s="68"/>
    </row>
    <row r="358">
      <c r="C358" s="68"/>
      <c r="D358" s="77"/>
      <c r="E358" s="68"/>
    </row>
    <row r="359">
      <c r="C359" s="68"/>
      <c r="D359" s="77"/>
      <c r="E359" s="68"/>
    </row>
    <row r="360">
      <c r="C360" s="68"/>
      <c r="D360" s="77"/>
      <c r="E360" s="68"/>
    </row>
    <row r="361">
      <c r="C361" s="68"/>
      <c r="D361" s="77"/>
      <c r="E361" s="68"/>
    </row>
    <row r="362">
      <c r="C362" s="68"/>
      <c r="D362" s="77"/>
      <c r="E362" s="68"/>
    </row>
    <row r="363">
      <c r="C363" s="68"/>
      <c r="D363" s="77"/>
      <c r="E363" s="68"/>
    </row>
    <row r="364">
      <c r="C364" s="68"/>
      <c r="D364" s="77"/>
      <c r="E364" s="68"/>
    </row>
    <row r="365">
      <c r="C365" s="68"/>
      <c r="D365" s="77"/>
      <c r="E365" s="68"/>
    </row>
    <row r="366">
      <c r="C366" s="68"/>
      <c r="D366" s="77"/>
      <c r="E366" s="68"/>
    </row>
    <row r="367">
      <c r="C367" s="68"/>
      <c r="D367" s="77"/>
      <c r="E367" s="68"/>
    </row>
    <row r="368">
      <c r="C368" s="68"/>
      <c r="D368" s="77"/>
      <c r="E368" s="68"/>
    </row>
    <row r="369">
      <c r="C369" s="68"/>
      <c r="D369" s="77"/>
      <c r="E369" s="68"/>
    </row>
    <row r="370">
      <c r="C370" s="68"/>
      <c r="D370" s="77"/>
      <c r="E370" s="68"/>
    </row>
    <row r="371">
      <c r="C371" s="68"/>
      <c r="D371" s="77"/>
      <c r="E371" s="68"/>
    </row>
    <row r="372">
      <c r="C372" s="68"/>
      <c r="D372" s="77"/>
      <c r="E372" s="68"/>
    </row>
    <row r="373">
      <c r="C373" s="68"/>
      <c r="D373" s="77"/>
      <c r="E373" s="68"/>
    </row>
    <row r="374">
      <c r="C374" s="68"/>
      <c r="D374" s="77"/>
      <c r="E374" s="68"/>
    </row>
    <row r="375">
      <c r="C375" s="68"/>
      <c r="D375" s="77"/>
      <c r="E375" s="68"/>
    </row>
    <row r="376">
      <c r="C376" s="68"/>
      <c r="D376" s="77"/>
      <c r="E376" s="68"/>
    </row>
    <row r="377">
      <c r="C377" s="68"/>
      <c r="D377" s="77"/>
      <c r="E377" s="68"/>
    </row>
    <row r="378">
      <c r="C378" s="68"/>
      <c r="D378" s="77"/>
      <c r="E378" s="68"/>
    </row>
    <row r="379">
      <c r="C379" s="68"/>
      <c r="D379" s="77"/>
      <c r="E379" s="68"/>
    </row>
    <row r="380">
      <c r="C380" s="68"/>
      <c r="D380" s="77"/>
      <c r="E380" s="68"/>
    </row>
    <row r="381">
      <c r="C381" s="68"/>
      <c r="D381" s="77"/>
      <c r="E381" s="68"/>
    </row>
    <row r="382">
      <c r="C382" s="68"/>
      <c r="D382" s="77"/>
      <c r="E382" s="68"/>
    </row>
    <row r="383">
      <c r="C383" s="68"/>
      <c r="D383" s="77"/>
      <c r="E383" s="68"/>
    </row>
    <row r="384">
      <c r="C384" s="68"/>
      <c r="D384" s="77"/>
      <c r="E384" s="68"/>
    </row>
    <row r="385">
      <c r="C385" s="68"/>
      <c r="D385" s="77"/>
      <c r="E385" s="68"/>
    </row>
    <row r="386">
      <c r="C386" s="68"/>
      <c r="D386" s="77"/>
      <c r="E386" s="68"/>
    </row>
    <row r="387">
      <c r="C387" s="68"/>
      <c r="D387" s="77"/>
      <c r="E387" s="68"/>
    </row>
    <row r="388">
      <c r="C388" s="68"/>
      <c r="D388" s="77"/>
      <c r="E388" s="68"/>
    </row>
    <row r="389">
      <c r="C389" s="68"/>
      <c r="D389" s="77"/>
      <c r="E389" s="68"/>
    </row>
    <row r="390">
      <c r="C390" s="68"/>
      <c r="D390" s="77"/>
      <c r="E390" s="68"/>
    </row>
    <row r="391">
      <c r="C391" s="68"/>
      <c r="D391" s="77"/>
      <c r="E391" s="68"/>
    </row>
    <row r="392">
      <c r="C392" s="68"/>
      <c r="D392" s="77"/>
      <c r="E392" s="68"/>
    </row>
    <row r="393">
      <c r="C393" s="68"/>
      <c r="D393" s="77"/>
      <c r="E393" s="68"/>
    </row>
    <row r="394">
      <c r="C394" s="68"/>
      <c r="D394" s="77"/>
      <c r="E394" s="68"/>
    </row>
    <row r="395">
      <c r="C395" s="68"/>
      <c r="D395" s="77"/>
      <c r="E395" s="68"/>
    </row>
    <row r="396">
      <c r="C396" s="68"/>
      <c r="D396" s="77"/>
      <c r="E396" s="68"/>
    </row>
    <row r="397">
      <c r="C397" s="68"/>
      <c r="D397" s="77"/>
      <c r="E397" s="68"/>
    </row>
    <row r="398">
      <c r="C398" s="68"/>
      <c r="D398" s="77"/>
      <c r="E398" s="68"/>
    </row>
    <row r="399">
      <c r="C399" s="68"/>
      <c r="D399" s="77"/>
      <c r="E399" s="68"/>
    </row>
    <row r="400">
      <c r="C400" s="68"/>
      <c r="D400" s="77"/>
      <c r="E400" s="68"/>
    </row>
    <row r="401">
      <c r="C401" s="68"/>
      <c r="D401" s="77"/>
      <c r="E401" s="68"/>
    </row>
    <row r="402">
      <c r="C402" s="68"/>
      <c r="D402" s="77"/>
      <c r="E402" s="68"/>
    </row>
    <row r="403">
      <c r="C403" s="68"/>
      <c r="D403" s="77"/>
      <c r="E403" s="68"/>
    </row>
    <row r="404">
      <c r="C404" s="68"/>
      <c r="D404" s="77"/>
      <c r="E404" s="68"/>
    </row>
    <row r="405">
      <c r="C405" s="68"/>
      <c r="D405" s="77"/>
      <c r="E405" s="68"/>
    </row>
    <row r="406">
      <c r="C406" s="68"/>
      <c r="D406" s="77"/>
      <c r="E406" s="68"/>
    </row>
    <row r="407">
      <c r="C407" s="68"/>
      <c r="D407" s="77"/>
      <c r="E407" s="68"/>
    </row>
    <row r="408">
      <c r="C408" s="68"/>
      <c r="D408" s="77"/>
      <c r="E408" s="68"/>
    </row>
    <row r="409">
      <c r="C409" s="68"/>
      <c r="D409" s="77"/>
      <c r="E409" s="68"/>
    </row>
    <row r="410">
      <c r="C410" s="68"/>
      <c r="D410" s="77"/>
      <c r="E410" s="68"/>
    </row>
    <row r="411">
      <c r="C411" s="68"/>
      <c r="D411" s="77"/>
      <c r="E411" s="68"/>
    </row>
    <row r="412">
      <c r="C412" s="68"/>
      <c r="D412" s="77"/>
      <c r="E412" s="68"/>
    </row>
    <row r="413">
      <c r="C413" s="68"/>
      <c r="D413" s="77"/>
      <c r="E413" s="68"/>
    </row>
    <row r="414">
      <c r="C414" s="68"/>
      <c r="D414" s="77"/>
      <c r="E414" s="68"/>
    </row>
    <row r="415">
      <c r="C415" s="68"/>
      <c r="D415" s="77"/>
      <c r="E415" s="68"/>
    </row>
    <row r="416">
      <c r="C416" s="68"/>
      <c r="D416" s="77"/>
      <c r="E416" s="68"/>
    </row>
    <row r="417">
      <c r="C417" s="68"/>
      <c r="D417" s="77"/>
      <c r="E417" s="68"/>
    </row>
    <row r="418">
      <c r="C418" s="68"/>
      <c r="D418" s="77"/>
      <c r="E418" s="68"/>
    </row>
    <row r="419">
      <c r="C419" s="68"/>
      <c r="D419" s="77"/>
      <c r="E419" s="68"/>
    </row>
    <row r="420">
      <c r="C420" s="68"/>
      <c r="D420" s="77"/>
      <c r="E420" s="68"/>
    </row>
    <row r="421">
      <c r="C421" s="68"/>
      <c r="D421" s="77"/>
      <c r="E421" s="68"/>
    </row>
    <row r="422">
      <c r="C422" s="68"/>
      <c r="D422" s="77"/>
      <c r="E422" s="68"/>
    </row>
    <row r="423">
      <c r="C423" s="68"/>
      <c r="D423" s="77"/>
      <c r="E423" s="68"/>
    </row>
    <row r="424">
      <c r="C424" s="68"/>
      <c r="D424" s="77"/>
      <c r="E424" s="68"/>
    </row>
    <row r="425">
      <c r="C425" s="68"/>
      <c r="D425" s="77"/>
      <c r="E425" s="68"/>
    </row>
    <row r="426">
      <c r="C426" s="68"/>
      <c r="D426" s="77"/>
      <c r="E426" s="68"/>
    </row>
    <row r="427">
      <c r="C427" s="68"/>
      <c r="D427" s="77"/>
      <c r="E427" s="68"/>
    </row>
    <row r="428">
      <c r="C428" s="68"/>
      <c r="D428" s="77"/>
      <c r="E428" s="68"/>
    </row>
    <row r="429">
      <c r="C429" s="68"/>
      <c r="D429" s="77"/>
      <c r="E429" s="68"/>
    </row>
    <row r="430">
      <c r="C430" s="68"/>
      <c r="D430" s="77"/>
      <c r="E430" s="68"/>
    </row>
    <row r="431">
      <c r="C431" s="68"/>
      <c r="D431" s="77"/>
      <c r="E431" s="68"/>
    </row>
    <row r="432">
      <c r="C432" s="68"/>
      <c r="D432" s="77"/>
      <c r="E432" s="68"/>
    </row>
    <row r="433">
      <c r="C433" s="68"/>
      <c r="D433" s="77"/>
      <c r="E433" s="68"/>
    </row>
    <row r="434">
      <c r="C434" s="68"/>
      <c r="D434" s="77"/>
      <c r="E434" s="68"/>
    </row>
    <row r="435">
      <c r="C435" s="68"/>
      <c r="D435" s="77"/>
      <c r="E435" s="68"/>
    </row>
    <row r="436">
      <c r="C436" s="68"/>
      <c r="D436" s="77"/>
      <c r="E436" s="68"/>
    </row>
    <row r="437">
      <c r="C437" s="68"/>
      <c r="D437" s="77"/>
      <c r="E437" s="68"/>
    </row>
    <row r="438">
      <c r="C438" s="68"/>
      <c r="D438" s="77"/>
      <c r="E438" s="68"/>
    </row>
    <row r="439">
      <c r="C439" s="68"/>
      <c r="D439" s="77"/>
      <c r="E439" s="68"/>
    </row>
    <row r="440">
      <c r="C440" s="68"/>
      <c r="D440" s="77"/>
      <c r="E440" s="68"/>
    </row>
    <row r="441">
      <c r="C441" s="68"/>
      <c r="D441" s="77"/>
      <c r="E441" s="68"/>
    </row>
    <row r="442">
      <c r="C442" s="68"/>
      <c r="D442" s="77"/>
      <c r="E442" s="68"/>
    </row>
    <row r="443">
      <c r="C443" s="68"/>
      <c r="D443" s="77"/>
      <c r="E443" s="68"/>
    </row>
    <row r="444">
      <c r="C444" s="68"/>
      <c r="D444" s="77"/>
      <c r="E444" s="68"/>
    </row>
    <row r="445">
      <c r="C445" s="68"/>
      <c r="D445" s="77"/>
      <c r="E445" s="68"/>
    </row>
    <row r="446">
      <c r="C446" s="68"/>
      <c r="D446" s="77"/>
      <c r="E446" s="68"/>
    </row>
    <row r="447">
      <c r="C447" s="68"/>
      <c r="D447" s="77"/>
      <c r="E447" s="68"/>
    </row>
    <row r="448">
      <c r="C448" s="68"/>
      <c r="D448" s="77"/>
      <c r="E448" s="68"/>
    </row>
    <row r="449">
      <c r="C449" s="68"/>
      <c r="D449" s="77"/>
      <c r="E449" s="68"/>
    </row>
    <row r="450">
      <c r="C450" s="68"/>
      <c r="D450" s="77"/>
      <c r="E450" s="68"/>
    </row>
    <row r="451">
      <c r="C451" s="68"/>
      <c r="D451" s="77"/>
      <c r="E451" s="68"/>
    </row>
    <row r="452">
      <c r="C452" s="68"/>
      <c r="D452" s="77"/>
      <c r="E452" s="68"/>
    </row>
    <row r="453">
      <c r="C453" s="68"/>
      <c r="D453" s="77"/>
      <c r="E453" s="68"/>
    </row>
    <row r="454">
      <c r="C454" s="68"/>
      <c r="D454" s="77"/>
      <c r="E454" s="68"/>
    </row>
    <row r="455">
      <c r="C455" s="68"/>
      <c r="D455" s="77"/>
      <c r="E455" s="68"/>
    </row>
    <row r="456">
      <c r="C456" s="68"/>
      <c r="D456" s="77"/>
      <c r="E456" s="68"/>
    </row>
    <row r="457">
      <c r="C457" s="68"/>
      <c r="D457" s="77"/>
      <c r="E457" s="68"/>
    </row>
    <row r="458">
      <c r="C458" s="68"/>
      <c r="D458" s="77"/>
      <c r="E458" s="68"/>
    </row>
    <row r="459">
      <c r="C459" s="68"/>
      <c r="D459" s="77"/>
      <c r="E459" s="68"/>
    </row>
    <row r="460">
      <c r="C460" s="68"/>
      <c r="D460" s="77"/>
      <c r="E460" s="68"/>
    </row>
    <row r="461">
      <c r="C461" s="68"/>
      <c r="D461" s="77"/>
      <c r="E461" s="68"/>
    </row>
    <row r="462">
      <c r="C462" s="68"/>
      <c r="D462" s="77"/>
      <c r="E462" s="68"/>
    </row>
    <row r="463">
      <c r="C463" s="68"/>
      <c r="D463" s="77"/>
      <c r="E463" s="68"/>
    </row>
    <row r="464">
      <c r="C464" s="68"/>
      <c r="D464" s="77"/>
      <c r="E464" s="68"/>
    </row>
    <row r="465">
      <c r="C465" s="68"/>
      <c r="D465" s="77"/>
      <c r="E465" s="68"/>
    </row>
    <row r="466">
      <c r="C466" s="68"/>
      <c r="D466" s="77"/>
      <c r="E466" s="68"/>
    </row>
    <row r="467">
      <c r="C467" s="68"/>
      <c r="D467" s="77"/>
      <c r="E467" s="68"/>
    </row>
    <row r="468">
      <c r="C468" s="68"/>
      <c r="D468" s="77"/>
      <c r="E468" s="68"/>
    </row>
    <row r="469">
      <c r="C469" s="68"/>
      <c r="D469" s="77"/>
      <c r="E469" s="68"/>
    </row>
    <row r="470">
      <c r="C470" s="68"/>
      <c r="D470" s="77"/>
      <c r="E470" s="68"/>
    </row>
    <row r="471">
      <c r="C471" s="68"/>
      <c r="D471" s="77"/>
      <c r="E471" s="68"/>
    </row>
    <row r="472">
      <c r="C472" s="68"/>
      <c r="D472" s="77"/>
      <c r="E472" s="68"/>
    </row>
    <row r="473">
      <c r="C473" s="68"/>
      <c r="D473" s="77"/>
      <c r="E473" s="68"/>
    </row>
    <row r="474">
      <c r="C474" s="68"/>
      <c r="D474" s="77"/>
      <c r="E474" s="68"/>
    </row>
    <row r="475">
      <c r="C475" s="68"/>
      <c r="D475" s="77"/>
      <c r="E475" s="68"/>
    </row>
    <row r="476">
      <c r="C476" s="68"/>
      <c r="D476" s="77"/>
      <c r="E476" s="68"/>
    </row>
    <row r="477">
      <c r="C477" s="68"/>
      <c r="D477" s="77"/>
      <c r="E477" s="68"/>
    </row>
    <row r="478">
      <c r="C478" s="68"/>
      <c r="D478" s="77"/>
      <c r="E478" s="68"/>
    </row>
    <row r="479">
      <c r="C479" s="68"/>
      <c r="D479" s="77"/>
      <c r="E479" s="68"/>
    </row>
    <row r="480">
      <c r="C480" s="68"/>
      <c r="D480" s="77"/>
      <c r="E480" s="68"/>
    </row>
    <row r="481">
      <c r="C481" s="68"/>
      <c r="D481" s="77"/>
      <c r="E481" s="68"/>
    </row>
    <row r="482">
      <c r="C482" s="68"/>
      <c r="D482" s="77"/>
      <c r="E482" s="68"/>
    </row>
    <row r="483">
      <c r="C483" s="68"/>
      <c r="D483" s="77"/>
      <c r="E483" s="68"/>
    </row>
    <row r="484">
      <c r="C484" s="68"/>
      <c r="D484" s="77"/>
      <c r="E484" s="68"/>
    </row>
    <row r="485">
      <c r="C485" s="68"/>
      <c r="D485" s="77"/>
      <c r="E485" s="68"/>
    </row>
    <row r="486">
      <c r="C486" s="68"/>
      <c r="D486" s="77"/>
      <c r="E486" s="68"/>
    </row>
    <row r="487">
      <c r="C487" s="68"/>
      <c r="D487" s="77"/>
      <c r="E487" s="68"/>
    </row>
    <row r="488">
      <c r="C488" s="68"/>
      <c r="D488" s="77"/>
      <c r="E488" s="68"/>
    </row>
    <row r="489">
      <c r="C489" s="68"/>
      <c r="D489" s="77"/>
      <c r="E489" s="68"/>
    </row>
    <row r="490">
      <c r="C490" s="68"/>
      <c r="D490" s="77"/>
      <c r="E490" s="68"/>
    </row>
    <row r="491">
      <c r="C491" s="68"/>
      <c r="D491" s="77"/>
      <c r="E491" s="68"/>
    </row>
    <row r="492">
      <c r="C492" s="68"/>
      <c r="D492" s="77"/>
      <c r="E492" s="68"/>
    </row>
    <row r="493">
      <c r="C493" s="68"/>
      <c r="D493" s="77"/>
      <c r="E493" s="68"/>
    </row>
    <row r="494">
      <c r="C494" s="68"/>
      <c r="D494" s="77"/>
      <c r="E494" s="68"/>
    </row>
    <row r="495">
      <c r="C495" s="68"/>
      <c r="D495" s="77"/>
      <c r="E495" s="68"/>
    </row>
    <row r="496">
      <c r="C496" s="68"/>
      <c r="D496" s="77"/>
      <c r="E496" s="68"/>
    </row>
    <row r="497">
      <c r="C497" s="68"/>
      <c r="D497" s="77"/>
      <c r="E497" s="68"/>
    </row>
    <row r="498">
      <c r="C498" s="68"/>
      <c r="D498" s="77"/>
      <c r="E498" s="68"/>
    </row>
    <row r="499">
      <c r="C499" s="68"/>
      <c r="D499" s="77"/>
      <c r="E499" s="68"/>
    </row>
    <row r="500">
      <c r="C500" s="68"/>
      <c r="D500" s="77"/>
      <c r="E500" s="68"/>
    </row>
    <row r="501">
      <c r="C501" s="68"/>
      <c r="D501" s="77"/>
      <c r="E501" s="68"/>
    </row>
    <row r="502">
      <c r="C502" s="68"/>
      <c r="D502" s="77"/>
      <c r="E502" s="68"/>
    </row>
    <row r="503">
      <c r="C503" s="68"/>
      <c r="D503" s="77"/>
      <c r="E503" s="68"/>
    </row>
    <row r="504">
      <c r="C504" s="68"/>
      <c r="D504" s="77"/>
      <c r="E504" s="68"/>
    </row>
    <row r="505">
      <c r="C505" s="68"/>
      <c r="D505" s="77"/>
      <c r="E505" s="68"/>
    </row>
    <row r="506">
      <c r="C506" s="68"/>
      <c r="D506" s="77"/>
      <c r="E506" s="68"/>
    </row>
    <row r="507">
      <c r="C507" s="68"/>
      <c r="D507" s="77"/>
      <c r="E507" s="68"/>
    </row>
    <row r="508">
      <c r="C508" s="68"/>
      <c r="D508" s="77"/>
      <c r="E508" s="68"/>
    </row>
    <row r="509">
      <c r="C509" s="68"/>
      <c r="D509" s="77"/>
      <c r="E509" s="68"/>
    </row>
    <row r="510">
      <c r="C510" s="68"/>
      <c r="D510" s="77"/>
      <c r="E510" s="68"/>
    </row>
    <row r="511">
      <c r="C511" s="68"/>
      <c r="D511" s="77"/>
      <c r="E511" s="68"/>
    </row>
    <row r="512">
      <c r="C512" s="68"/>
      <c r="D512" s="77"/>
      <c r="E512" s="68"/>
    </row>
    <row r="513">
      <c r="C513" s="68"/>
      <c r="D513" s="77"/>
      <c r="E513" s="68"/>
    </row>
    <row r="514">
      <c r="C514" s="68"/>
      <c r="D514" s="77"/>
      <c r="E514" s="68"/>
    </row>
    <row r="515">
      <c r="C515" s="68"/>
      <c r="D515" s="77"/>
      <c r="E515" s="68"/>
    </row>
    <row r="516">
      <c r="C516" s="68"/>
      <c r="D516" s="77"/>
      <c r="E516" s="68"/>
    </row>
    <row r="517">
      <c r="C517" s="68"/>
      <c r="D517" s="77"/>
      <c r="E517" s="68"/>
    </row>
    <row r="518">
      <c r="C518" s="68"/>
      <c r="D518" s="77"/>
      <c r="E518" s="68"/>
    </row>
    <row r="519">
      <c r="C519" s="68"/>
      <c r="D519" s="77"/>
      <c r="E519" s="68"/>
    </row>
    <row r="520">
      <c r="C520" s="68"/>
      <c r="D520" s="77"/>
      <c r="E520" s="68"/>
    </row>
    <row r="521">
      <c r="C521" s="68"/>
      <c r="D521" s="77"/>
      <c r="E521" s="68"/>
    </row>
    <row r="522">
      <c r="C522" s="68"/>
      <c r="D522" s="77"/>
      <c r="E522" s="68"/>
    </row>
    <row r="523">
      <c r="C523" s="68"/>
      <c r="D523" s="77"/>
      <c r="E523" s="68"/>
    </row>
    <row r="524">
      <c r="C524" s="68"/>
      <c r="D524" s="77"/>
      <c r="E524" s="68"/>
    </row>
    <row r="525">
      <c r="C525" s="68"/>
      <c r="D525" s="77"/>
      <c r="E525" s="68"/>
    </row>
    <row r="526">
      <c r="C526" s="68"/>
      <c r="D526" s="77"/>
      <c r="E526" s="68"/>
    </row>
    <row r="527">
      <c r="C527" s="68"/>
      <c r="D527" s="77"/>
      <c r="E527" s="68"/>
    </row>
    <row r="528">
      <c r="C528" s="68"/>
      <c r="D528" s="77"/>
      <c r="E528" s="68"/>
    </row>
    <row r="529">
      <c r="C529" s="68"/>
      <c r="D529" s="77"/>
      <c r="E529" s="68"/>
    </row>
    <row r="530">
      <c r="C530" s="68"/>
      <c r="D530" s="77"/>
      <c r="E530" s="68"/>
    </row>
    <row r="531">
      <c r="C531" s="68"/>
      <c r="D531" s="77"/>
      <c r="E531" s="68"/>
    </row>
    <row r="532">
      <c r="C532" s="68"/>
      <c r="D532" s="77"/>
      <c r="E532" s="68"/>
    </row>
    <row r="533">
      <c r="C533" s="68"/>
      <c r="D533" s="77"/>
      <c r="E533" s="68"/>
    </row>
    <row r="534">
      <c r="C534" s="68"/>
      <c r="D534" s="77"/>
      <c r="E534" s="68"/>
    </row>
    <row r="535">
      <c r="C535" s="68"/>
      <c r="D535" s="77"/>
      <c r="E535" s="68"/>
    </row>
    <row r="536">
      <c r="C536" s="68"/>
      <c r="D536" s="77"/>
      <c r="E536" s="68"/>
    </row>
    <row r="537">
      <c r="C537" s="68"/>
      <c r="D537" s="77"/>
      <c r="E537" s="68"/>
    </row>
    <row r="538">
      <c r="C538" s="68"/>
      <c r="D538" s="77"/>
      <c r="E538" s="68"/>
    </row>
    <row r="539">
      <c r="C539" s="68"/>
      <c r="D539" s="77"/>
      <c r="E539" s="68"/>
    </row>
    <row r="540">
      <c r="C540" s="68"/>
      <c r="D540" s="77"/>
      <c r="E540" s="68"/>
    </row>
    <row r="541">
      <c r="C541" s="68"/>
      <c r="D541" s="77"/>
      <c r="E541" s="68"/>
    </row>
    <row r="542">
      <c r="C542" s="68"/>
      <c r="D542" s="77"/>
      <c r="E542" s="68"/>
    </row>
    <row r="543">
      <c r="C543" s="68"/>
      <c r="D543" s="77"/>
      <c r="E543" s="68"/>
    </row>
    <row r="544">
      <c r="C544" s="68"/>
      <c r="D544" s="77"/>
      <c r="E544" s="68"/>
    </row>
    <row r="545">
      <c r="C545" s="68"/>
      <c r="D545" s="77"/>
      <c r="E545" s="68"/>
    </row>
    <row r="546">
      <c r="C546" s="68"/>
      <c r="D546" s="77"/>
      <c r="E546" s="68"/>
    </row>
    <row r="547">
      <c r="C547" s="68"/>
      <c r="D547" s="77"/>
      <c r="E547" s="68"/>
    </row>
    <row r="548">
      <c r="C548" s="68"/>
      <c r="D548" s="77"/>
      <c r="E548" s="68"/>
    </row>
    <row r="549">
      <c r="C549" s="68"/>
      <c r="D549" s="77"/>
      <c r="E549" s="68"/>
    </row>
    <row r="550">
      <c r="C550" s="68"/>
      <c r="D550" s="77"/>
      <c r="E550" s="68"/>
    </row>
    <row r="551">
      <c r="C551" s="68"/>
      <c r="D551" s="77"/>
      <c r="E551" s="68"/>
    </row>
    <row r="552">
      <c r="C552" s="68"/>
      <c r="D552" s="77"/>
      <c r="E552" s="68"/>
    </row>
    <row r="553">
      <c r="C553" s="68"/>
      <c r="D553" s="77"/>
      <c r="E553" s="68"/>
    </row>
    <row r="554">
      <c r="C554" s="68"/>
      <c r="D554" s="77"/>
      <c r="E554" s="68"/>
    </row>
    <row r="555">
      <c r="C555" s="68"/>
      <c r="D555" s="77"/>
      <c r="E555" s="68"/>
    </row>
    <row r="556">
      <c r="C556" s="68"/>
      <c r="D556" s="77"/>
      <c r="E556" s="68"/>
    </row>
    <row r="557">
      <c r="C557" s="68"/>
      <c r="D557" s="77"/>
      <c r="E557" s="68"/>
    </row>
    <row r="558">
      <c r="C558" s="68"/>
      <c r="D558" s="77"/>
      <c r="E558" s="68"/>
    </row>
    <row r="559">
      <c r="C559" s="68"/>
      <c r="D559" s="77"/>
      <c r="E559" s="68"/>
    </row>
    <row r="560">
      <c r="C560" s="68"/>
      <c r="D560" s="77"/>
      <c r="E560" s="68"/>
    </row>
    <row r="561">
      <c r="C561" s="68"/>
      <c r="D561" s="77"/>
      <c r="E561" s="68"/>
    </row>
    <row r="562">
      <c r="C562" s="68"/>
      <c r="D562" s="77"/>
      <c r="E562" s="68"/>
    </row>
    <row r="563">
      <c r="C563" s="68"/>
      <c r="D563" s="77"/>
      <c r="E563" s="68"/>
    </row>
    <row r="564">
      <c r="C564" s="68"/>
      <c r="D564" s="77"/>
      <c r="E564" s="68"/>
    </row>
    <row r="565">
      <c r="C565" s="68"/>
      <c r="D565" s="77"/>
      <c r="E565" s="68"/>
    </row>
    <row r="566">
      <c r="C566" s="68"/>
      <c r="D566" s="77"/>
      <c r="E566" s="68"/>
    </row>
    <row r="567">
      <c r="C567" s="68"/>
      <c r="D567" s="77"/>
      <c r="E567" s="68"/>
    </row>
    <row r="568">
      <c r="C568" s="68"/>
      <c r="D568" s="77"/>
      <c r="E568" s="68"/>
    </row>
    <row r="569">
      <c r="C569" s="68"/>
      <c r="D569" s="77"/>
      <c r="E569" s="68"/>
    </row>
    <row r="570">
      <c r="C570" s="68"/>
      <c r="D570" s="77"/>
      <c r="E570" s="68"/>
    </row>
    <row r="571">
      <c r="C571" s="68"/>
      <c r="D571" s="77"/>
      <c r="E571" s="68"/>
    </row>
    <row r="572">
      <c r="C572" s="68"/>
      <c r="D572" s="77"/>
      <c r="E572" s="68"/>
    </row>
    <row r="573">
      <c r="C573" s="68"/>
      <c r="D573" s="77"/>
      <c r="E573" s="68"/>
    </row>
    <row r="574">
      <c r="C574" s="68"/>
      <c r="D574" s="77"/>
      <c r="E574" s="68"/>
    </row>
    <row r="575">
      <c r="C575" s="68"/>
      <c r="D575" s="77"/>
      <c r="E575" s="68"/>
    </row>
    <row r="576">
      <c r="C576" s="68"/>
      <c r="D576" s="77"/>
      <c r="E576" s="68"/>
    </row>
    <row r="577">
      <c r="C577" s="68"/>
      <c r="D577" s="77"/>
      <c r="E577" s="68"/>
    </row>
    <row r="578">
      <c r="C578" s="68"/>
      <c r="D578" s="77"/>
      <c r="E578" s="68"/>
    </row>
    <row r="579">
      <c r="C579" s="68"/>
      <c r="D579" s="77"/>
      <c r="E579" s="68"/>
    </row>
    <row r="580">
      <c r="C580" s="68"/>
      <c r="D580" s="77"/>
      <c r="E580" s="68"/>
    </row>
    <row r="581">
      <c r="C581" s="68"/>
      <c r="D581" s="77"/>
      <c r="E581" s="68"/>
    </row>
    <row r="582">
      <c r="C582" s="68"/>
      <c r="D582" s="77"/>
      <c r="E582" s="68"/>
    </row>
    <row r="583">
      <c r="C583" s="68"/>
      <c r="D583" s="77"/>
      <c r="E583" s="68"/>
    </row>
    <row r="584">
      <c r="C584" s="68"/>
      <c r="D584" s="77"/>
      <c r="E584" s="68"/>
    </row>
    <row r="585">
      <c r="C585" s="68"/>
      <c r="D585" s="77"/>
      <c r="E585" s="68"/>
    </row>
    <row r="586">
      <c r="C586" s="68"/>
      <c r="D586" s="77"/>
      <c r="E586" s="68"/>
    </row>
    <row r="587">
      <c r="C587" s="68"/>
      <c r="D587" s="77"/>
      <c r="E587" s="68"/>
    </row>
    <row r="588">
      <c r="C588" s="68"/>
      <c r="D588" s="77"/>
      <c r="E588" s="68"/>
    </row>
    <row r="589">
      <c r="C589" s="68"/>
      <c r="D589" s="77"/>
      <c r="E589" s="68"/>
    </row>
    <row r="590">
      <c r="C590" s="68"/>
      <c r="D590" s="77"/>
      <c r="E590" s="68"/>
    </row>
    <row r="591">
      <c r="C591" s="68"/>
      <c r="D591" s="77"/>
      <c r="E591" s="68"/>
    </row>
    <row r="592">
      <c r="C592" s="68"/>
      <c r="D592" s="77"/>
      <c r="E592" s="68"/>
    </row>
    <row r="593">
      <c r="C593" s="68"/>
      <c r="D593" s="77"/>
      <c r="E593" s="68"/>
    </row>
    <row r="594">
      <c r="C594" s="68"/>
      <c r="D594" s="77"/>
      <c r="E594" s="68"/>
    </row>
    <row r="595">
      <c r="C595" s="68"/>
      <c r="D595" s="77"/>
      <c r="E595" s="68"/>
    </row>
    <row r="596">
      <c r="C596" s="68"/>
      <c r="D596" s="77"/>
      <c r="E596" s="68"/>
    </row>
    <row r="597">
      <c r="C597" s="68"/>
      <c r="D597" s="77"/>
      <c r="E597" s="68"/>
    </row>
    <row r="598">
      <c r="C598" s="68"/>
      <c r="D598" s="77"/>
      <c r="E598" s="68"/>
    </row>
    <row r="599">
      <c r="C599" s="68"/>
      <c r="D599" s="77"/>
      <c r="E599" s="68"/>
    </row>
    <row r="600">
      <c r="C600" s="68"/>
      <c r="D600" s="77"/>
      <c r="E600" s="68"/>
    </row>
    <row r="601">
      <c r="C601" s="68"/>
      <c r="D601" s="77"/>
      <c r="E601" s="68"/>
    </row>
    <row r="602">
      <c r="C602" s="68"/>
      <c r="D602" s="77"/>
      <c r="E602" s="68"/>
    </row>
    <row r="603">
      <c r="C603" s="68"/>
      <c r="D603" s="77"/>
      <c r="E603" s="68"/>
    </row>
    <row r="604">
      <c r="C604" s="68"/>
      <c r="D604" s="77"/>
      <c r="E604" s="68"/>
    </row>
    <row r="605">
      <c r="C605" s="68"/>
      <c r="D605" s="77"/>
      <c r="E605" s="68"/>
    </row>
    <row r="606">
      <c r="C606" s="68"/>
      <c r="D606" s="77"/>
      <c r="E606" s="68"/>
    </row>
    <row r="607">
      <c r="C607" s="68"/>
      <c r="D607" s="77"/>
      <c r="E607" s="68"/>
    </row>
    <row r="608">
      <c r="C608" s="68"/>
      <c r="D608" s="77"/>
      <c r="E608" s="68"/>
    </row>
    <row r="609">
      <c r="C609" s="68"/>
      <c r="D609" s="77"/>
      <c r="E609" s="68"/>
    </row>
    <row r="610">
      <c r="C610" s="68"/>
      <c r="D610" s="77"/>
      <c r="E610" s="68"/>
    </row>
    <row r="611">
      <c r="C611" s="68"/>
      <c r="D611" s="77"/>
      <c r="E611" s="68"/>
    </row>
    <row r="612">
      <c r="C612" s="68"/>
      <c r="D612" s="77"/>
      <c r="E612" s="68"/>
    </row>
    <row r="613">
      <c r="C613" s="68"/>
      <c r="D613" s="77"/>
      <c r="E613" s="68"/>
    </row>
    <row r="614">
      <c r="C614" s="68"/>
      <c r="D614" s="77"/>
      <c r="E614" s="68"/>
    </row>
    <row r="615">
      <c r="C615" s="68"/>
      <c r="D615" s="77"/>
      <c r="E615" s="68"/>
    </row>
    <row r="616">
      <c r="C616" s="68"/>
      <c r="D616" s="77"/>
      <c r="E616" s="68"/>
    </row>
    <row r="617">
      <c r="C617" s="68"/>
      <c r="D617" s="77"/>
      <c r="E617" s="68"/>
    </row>
    <row r="618">
      <c r="C618" s="68"/>
      <c r="D618" s="77"/>
      <c r="E618" s="68"/>
    </row>
    <row r="619">
      <c r="C619" s="68"/>
      <c r="D619" s="77"/>
      <c r="E619" s="68"/>
    </row>
    <row r="620">
      <c r="C620" s="68"/>
      <c r="D620" s="77"/>
      <c r="E620" s="68"/>
    </row>
    <row r="621">
      <c r="C621" s="68"/>
      <c r="D621" s="77"/>
      <c r="E621" s="68"/>
    </row>
    <row r="622">
      <c r="C622" s="68"/>
      <c r="D622" s="77"/>
      <c r="E622" s="68"/>
    </row>
    <row r="623">
      <c r="C623" s="68"/>
      <c r="D623" s="77"/>
      <c r="E623" s="68"/>
    </row>
    <row r="624">
      <c r="C624" s="68"/>
      <c r="D624" s="77"/>
      <c r="E624" s="68"/>
    </row>
    <row r="625">
      <c r="C625" s="68"/>
      <c r="D625" s="77"/>
      <c r="E625" s="68"/>
    </row>
    <row r="626">
      <c r="C626" s="68"/>
      <c r="D626" s="77"/>
      <c r="E626" s="68"/>
    </row>
    <row r="627">
      <c r="C627" s="68"/>
      <c r="D627" s="77"/>
      <c r="E627" s="68"/>
    </row>
    <row r="628">
      <c r="C628" s="68"/>
      <c r="D628" s="77"/>
      <c r="E628" s="68"/>
    </row>
    <row r="629">
      <c r="C629" s="68"/>
      <c r="D629" s="77"/>
      <c r="E629" s="68"/>
    </row>
    <row r="630">
      <c r="C630" s="68"/>
      <c r="D630" s="77"/>
      <c r="E630" s="68"/>
    </row>
    <row r="631">
      <c r="C631" s="68"/>
      <c r="D631" s="77"/>
      <c r="E631" s="68"/>
    </row>
    <row r="632">
      <c r="C632" s="68"/>
      <c r="D632" s="77"/>
      <c r="E632" s="68"/>
    </row>
    <row r="633">
      <c r="C633" s="68"/>
      <c r="D633" s="77"/>
      <c r="E633" s="68"/>
    </row>
    <row r="634">
      <c r="C634" s="68"/>
      <c r="D634" s="77"/>
      <c r="E634" s="68"/>
    </row>
    <row r="635">
      <c r="C635" s="68"/>
      <c r="D635" s="77"/>
      <c r="E635" s="68"/>
    </row>
    <row r="636">
      <c r="C636" s="68"/>
      <c r="D636" s="77"/>
      <c r="E636" s="68"/>
    </row>
    <row r="637">
      <c r="C637" s="68"/>
      <c r="D637" s="77"/>
      <c r="E637" s="68"/>
    </row>
    <row r="638">
      <c r="C638" s="68"/>
      <c r="D638" s="77"/>
      <c r="E638" s="68"/>
    </row>
    <row r="639">
      <c r="C639" s="68"/>
      <c r="D639" s="77"/>
      <c r="E639" s="68"/>
    </row>
    <row r="640">
      <c r="C640" s="68"/>
      <c r="D640" s="77"/>
      <c r="E640" s="68"/>
    </row>
    <row r="641">
      <c r="C641" s="68"/>
      <c r="D641" s="77"/>
      <c r="E641" s="68"/>
    </row>
    <row r="642">
      <c r="C642" s="68"/>
      <c r="D642" s="77"/>
      <c r="E642" s="68"/>
    </row>
    <row r="643">
      <c r="C643" s="68"/>
      <c r="D643" s="77"/>
      <c r="E643" s="68"/>
    </row>
    <row r="644">
      <c r="C644" s="68"/>
      <c r="D644" s="77"/>
      <c r="E644" s="68"/>
    </row>
    <row r="645">
      <c r="C645" s="68"/>
      <c r="D645" s="77"/>
      <c r="E645" s="68"/>
    </row>
    <row r="646">
      <c r="C646" s="68"/>
      <c r="D646" s="77"/>
      <c r="E646" s="68"/>
    </row>
    <row r="647">
      <c r="C647" s="68"/>
      <c r="D647" s="77"/>
      <c r="E647" s="68"/>
    </row>
    <row r="648">
      <c r="C648" s="68"/>
      <c r="D648" s="77"/>
      <c r="E648" s="68"/>
    </row>
    <row r="649">
      <c r="C649" s="68"/>
      <c r="D649" s="77"/>
      <c r="E649" s="68"/>
    </row>
    <row r="650">
      <c r="C650" s="68"/>
      <c r="D650" s="77"/>
      <c r="E650" s="68"/>
    </row>
    <row r="651">
      <c r="C651" s="68"/>
      <c r="D651" s="77"/>
      <c r="E651" s="68"/>
    </row>
    <row r="652">
      <c r="C652" s="68"/>
      <c r="D652" s="77"/>
      <c r="E652" s="68"/>
    </row>
    <row r="653">
      <c r="C653" s="68"/>
      <c r="D653" s="77"/>
      <c r="E653" s="68"/>
    </row>
    <row r="654">
      <c r="C654" s="68"/>
      <c r="D654" s="77"/>
      <c r="E654" s="68"/>
    </row>
    <row r="655">
      <c r="C655" s="68"/>
      <c r="D655" s="77"/>
      <c r="E655" s="68"/>
    </row>
    <row r="656">
      <c r="C656" s="68"/>
      <c r="D656" s="77"/>
      <c r="E656" s="68"/>
    </row>
    <row r="657">
      <c r="C657" s="68"/>
      <c r="D657" s="77"/>
      <c r="E657" s="68"/>
    </row>
    <row r="658">
      <c r="C658" s="68"/>
      <c r="D658" s="77"/>
      <c r="E658" s="68"/>
    </row>
    <row r="659">
      <c r="C659" s="68"/>
      <c r="D659" s="77"/>
      <c r="E659" s="68"/>
    </row>
    <row r="660">
      <c r="C660" s="68"/>
      <c r="D660" s="77"/>
      <c r="E660" s="68"/>
    </row>
    <row r="661">
      <c r="C661" s="68"/>
      <c r="D661" s="77"/>
      <c r="E661" s="68"/>
    </row>
    <row r="662">
      <c r="C662" s="68"/>
      <c r="D662" s="77"/>
      <c r="E662" s="68"/>
    </row>
    <row r="663">
      <c r="C663" s="68"/>
      <c r="D663" s="77"/>
      <c r="E663" s="68"/>
    </row>
    <row r="664">
      <c r="C664" s="68"/>
      <c r="D664" s="77"/>
      <c r="E664" s="68"/>
    </row>
    <row r="665">
      <c r="C665" s="68"/>
      <c r="D665" s="77"/>
      <c r="E665" s="68"/>
    </row>
    <row r="666">
      <c r="C666" s="68"/>
      <c r="D666" s="77"/>
      <c r="E666" s="68"/>
    </row>
    <row r="667">
      <c r="C667" s="68"/>
      <c r="D667" s="77"/>
      <c r="E667" s="68"/>
    </row>
    <row r="668">
      <c r="C668" s="68"/>
      <c r="D668" s="77"/>
      <c r="E668" s="68"/>
    </row>
    <row r="669">
      <c r="C669" s="68"/>
      <c r="D669" s="77"/>
      <c r="E669" s="68"/>
    </row>
    <row r="670">
      <c r="C670" s="68"/>
      <c r="D670" s="77"/>
      <c r="E670" s="68"/>
    </row>
    <row r="671">
      <c r="C671" s="68"/>
      <c r="D671" s="77"/>
      <c r="E671" s="68"/>
    </row>
    <row r="672">
      <c r="C672" s="68"/>
      <c r="D672" s="77"/>
      <c r="E672" s="68"/>
    </row>
    <row r="673">
      <c r="C673" s="68"/>
      <c r="D673" s="77"/>
      <c r="E673" s="68"/>
    </row>
    <row r="674">
      <c r="C674" s="68"/>
      <c r="D674" s="77"/>
      <c r="E674" s="68"/>
    </row>
    <row r="675">
      <c r="C675" s="68"/>
      <c r="D675" s="77"/>
      <c r="E675" s="68"/>
    </row>
    <row r="676">
      <c r="C676" s="68"/>
      <c r="D676" s="77"/>
      <c r="E676" s="68"/>
    </row>
    <row r="677">
      <c r="C677" s="68"/>
      <c r="D677" s="77"/>
      <c r="E677" s="68"/>
    </row>
    <row r="678">
      <c r="C678" s="68"/>
      <c r="D678" s="77"/>
      <c r="E678" s="68"/>
    </row>
    <row r="679">
      <c r="C679" s="68"/>
      <c r="D679" s="77"/>
      <c r="E679" s="68"/>
    </row>
    <row r="680">
      <c r="C680" s="68"/>
      <c r="D680" s="77"/>
      <c r="E680" s="68"/>
    </row>
    <row r="681">
      <c r="C681" s="68"/>
      <c r="D681" s="77"/>
      <c r="E681" s="68"/>
    </row>
    <row r="682">
      <c r="C682" s="68"/>
      <c r="D682" s="77"/>
      <c r="E682" s="68"/>
    </row>
    <row r="683">
      <c r="C683" s="68"/>
      <c r="D683" s="77"/>
      <c r="E683" s="68"/>
    </row>
    <row r="684">
      <c r="C684" s="68"/>
      <c r="D684" s="77"/>
      <c r="E684" s="68"/>
    </row>
    <row r="685">
      <c r="C685" s="68"/>
      <c r="D685" s="77"/>
      <c r="E685" s="68"/>
    </row>
    <row r="686">
      <c r="C686" s="68"/>
      <c r="D686" s="77"/>
      <c r="E686" s="68"/>
    </row>
    <row r="687">
      <c r="C687" s="68"/>
      <c r="D687" s="77"/>
      <c r="E687" s="68"/>
    </row>
    <row r="688">
      <c r="C688" s="68"/>
      <c r="D688" s="77"/>
      <c r="E688" s="68"/>
    </row>
    <row r="689">
      <c r="C689" s="68"/>
      <c r="D689" s="77"/>
      <c r="E689" s="68"/>
    </row>
    <row r="690">
      <c r="C690" s="68"/>
      <c r="D690" s="77"/>
      <c r="E690" s="68"/>
    </row>
    <row r="691">
      <c r="C691" s="68"/>
      <c r="D691" s="77"/>
      <c r="E691" s="68"/>
    </row>
    <row r="692">
      <c r="C692" s="68"/>
      <c r="D692" s="77"/>
      <c r="E692" s="68"/>
    </row>
    <row r="693">
      <c r="C693" s="68"/>
      <c r="D693" s="77"/>
      <c r="E693" s="68"/>
    </row>
    <row r="694">
      <c r="C694" s="68"/>
      <c r="D694" s="77"/>
      <c r="E694" s="68"/>
    </row>
    <row r="695">
      <c r="C695" s="68"/>
      <c r="D695" s="77"/>
      <c r="E695" s="68"/>
    </row>
    <row r="696">
      <c r="C696" s="68"/>
      <c r="D696" s="77"/>
      <c r="E696" s="68"/>
    </row>
    <row r="697">
      <c r="C697" s="68"/>
      <c r="D697" s="77"/>
      <c r="E697" s="68"/>
    </row>
    <row r="698">
      <c r="C698" s="68"/>
      <c r="D698" s="77"/>
      <c r="E698" s="68"/>
    </row>
    <row r="699">
      <c r="C699" s="68"/>
      <c r="D699" s="77"/>
      <c r="E699" s="68"/>
    </row>
    <row r="700">
      <c r="C700" s="68"/>
      <c r="D700" s="77"/>
      <c r="E700" s="68"/>
    </row>
    <row r="701">
      <c r="C701" s="68"/>
      <c r="D701" s="77"/>
      <c r="E701" s="68"/>
    </row>
    <row r="702">
      <c r="C702" s="68"/>
      <c r="D702" s="77"/>
      <c r="E702" s="68"/>
    </row>
    <row r="703">
      <c r="C703" s="68"/>
      <c r="D703" s="77"/>
      <c r="E703" s="68"/>
    </row>
    <row r="704">
      <c r="C704" s="68"/>
      <c r="D704" s="77"/>
      <c r="E704" s="68"/>
    </row>
    <row r="705">
      <c r="C705" s="68"/>
      <c r="D705" s="77"/>
      <c r="E705" s="68"/>
    </row>
    <row r="706">
      <c r="C706" s="68"/>
      <c r="D706" s="77"/>
      <c r="E706" s="68"/>
    </row>
    <row r="707">
      <c r="C707" s="68"/>
      <c r="D707" s="77"/>
      <c r="E707" s="68"/>
    </row>
    <row r="708">
      <c r="C708" s="68"/>
      <c r="D708" s="77"/>
      <c r="E708" s="68"/>
    </row>
    <row r="709">
      <c r="C709" s="68"/>
      <c r="D709" s="77"/>
      <c r="E709" s="68"/>
    </row>
    <row r="710">
      <c r="C710" s="68"/>
      <c r="D710" s="77"/>
      <c r="E710" s="68"/>
    </row>
    <row r="711">
      <c r="C711" s="68"/>
      <c r="D711" s="77"/>
      <c r="E711" s="68"/>
    </row>
    <row r="712">
      <c r="C712" s="68"/>
      <c r="D712" s="77"/>
      <c r="E712" s="68"/>
    </row>
    <row r="713">
      <c r="C713" s="68"/>
      <c r="D713" s="77"/>
      <c r="E713" s="68"/>
    </row>
    <row r="714">
      <c r="C714" s="68"/>
      <c r="D714" s="77"/>
      <c r="E714" s="68"/>
    </row>
    <row r="715">
      <c r="C715" s="68"/>
      <c r="D715" s="77"/>
      <c r="E715" s="68"/>
    </row>
    <row r="716">
      <c r="C716" s="68"/>
      <c r="D716" s="77"/>
      <c r="E716" s="68"/>
    </row>
    <row r="717">
      <c r="C717" s="68"/>
      <c r="D717" s="77"/>
      <c r="E717" s="68"/>
    </row>
    <row r="718">
      <c r="C718" s="68"/>
      <c r="D718" s="77"/>
      <c r="E718" s="68"/>
    </row>
    <row r="719">
      <c r="C719" s="68"/>
      <c r="D719" s="77"/>
      <c r="E719" s="68"/>
    </row>
    <row r="720">
      <c r="C720" s="68"/>
      <c r="D720" s="77"/>
      <c r="E720" s="68"/>
    </row>
    <row r="721">
      <c r="C721" s="68"/>
      <c r="D721" s="77"/>
      <c r="E721" s="68"/>
    </row>
    <row r="722">
      <c r="C722" s="68"/>
      <c r="D722" s="77"/>
      <c r="E722" s="68"/>
    </row>
    <row r="723">
      <c r="C723" s="68"/>
      <c r="D723" s="77"/>
      <c r="E723" s="68"/>
    </row>
    <row r="724">
      <c r="C724" s="68"/>
      <c r="D724" s="77"/>
      <c r="E724" s="68"/>
    </row>
    <row r="725">
      <c r="C725" s="68"/>
      <c r="D725" s="77"/>
      <c r="E725" s="68"/>
    </row>
    <row r="726">
      <c r="C726" s="68"/>
      <c r="D726" s="77"/>
      <c r="E726" s="68"/>
    </row>
    <row r="727">
      <c r="C727" s="68"/>
      <c r="D727" s="77"/>
      <c r="E727" s="68"/>
    </row>
    <row r="728">
      <c r="C728" s="68"/>
      <c r="D728" s="77"/>
      <c r="E728" s="68"/>
    </row>
    <row r="729">
      <c r="C729" s="68"/>
      <c r="D729" s="77"/>
      <c r="E729" s="68"/>
    </row>
    <row r="730">
      <c r="C730" s="68"/>
      <c r="D730" s="77"/>
      <c r="E730" s="68"/>
    </row>
    <row r="731">
      <c r="C731" s="68"/>
      <c r="D731" s="77"/>
      <c r="E731" s="68"/>
    </row>
    <row r="732">
      <c r="C732" s="68"/>
      <c r="D732" s="77"/>
      <c r="E732" s="68"/>
    </row>
    <row r="733">
      <c r="C733" s="68"/>
      <c r="D733" s="77"/>
      <c r="E733" s="68"/>
    </row>
    <row r="734">
      <c r="C734" s="68"/>
      <c r="D734" s="77"/>
      <c r="E734" s="68"/>
    </row>
    <row r="735">
      <c r="C735" s="68"/>
      <c r="D735" s="77"/>
      <c r="E735" s="68"/>
    </row>
    <row r="736">
      <c r="C736" s="68"/>
      <c r="D736" s="77"/>
      <c r="E736" s="68"/>
    </row>
    <row r="737">
      <c r="C737" s="68"/>
      <c r="D737" s="77"/>
      <c r="E737" s="68"/>
    </row>
    <row r="738">
      <c r="C738" s="68"/>
      <c r="D738" s="77"/>
      <c r="E738" s="68"/>
    </row>
    <row r="739">
      <c r="C739" s="68"/>
      <c r="D739" s="77"/>
      <c r="E739" s="68"/>
    </row>
    <row r="740">
      <c r="C740" s="68"/>
      <c r="D740" s="77"/>
      <c r="E740" s="68"/>
    </row>
    <row r="741">
      <c r="C741" s="68"/>
      <c r="D741" s="77"/>
      <c r="E741" s="68"/>
    </row>
    <row r="742">
      <c r="C742" s="68"/>
      <c r="D742" s="77"/>
      <c r="E742" s="68"/>
    </row>
    <row r="743">
      <c r="C743" s="68"/>
      <c r="D743" s="77"/>
      <c r="E743" s="68"/>
    </row>
    <row r="744">
      <c r="C744" s="68"/>
      <c r="D744" s="77"/>
      <c r="E744" s="68"/>
    </row>
    <row r="745">
      <c r="C745" s="68"/>
      <c r="D745" s="77"/>
      <c r="E745" s="68"/>
    </row>
    <row r="746">
      <c r="C746" s="68"/>
      <c r="D746" s="77"/>
      <c r="E746" s="68"/>
    </row>
    <row r="747">
      <c r="C747" s="68"/>
      <c r="D747" s="77"/>
      <c r="E747" s="68"/>
    </row>
    <row r="748">
      <c r="C748" s="68"/>
      <c r="D748" s="77"/>
      <c r="E748" s="68"/>
    </row>
    <row r="749">
      <c r="C749" s="68"/>
      <c r="D749" s="77"/>
      <c r="E749" s="68"/>
    </row>
    <row r="750">
      <c r="C750" s="68"/>
      <c r="D750" s="77"/>
      <c r="E750" s="68"/>
    </row>
    <row r="751">
      <c r="C751" s="68"/>
      <c r="D751" s="77"/>
      <c r="E751" s="68"/>
    </row>
    <row r="752">
      <c r="C752" s="68"/>
      <c r="D752" s="77"/>
      <c r="E752" s="68"/>
    </row>
    <row r="753">
      <c r="C753" s="68"/>
      <c r="D753" s="77"/>
      <c r="E753" s="68"/>
    </row>
    <row r="754">
      <c r="C754" s="68"/>
      <c r="D754" s="77"/>
      <c r="E754" s="68"/>
    </row>
    <row r="755">
      <c r="C755" s="68"/>
      <c r="D755" s="77"/>
      <c r="E755" s="68"/>
    </row>
    <row r="756">
      <c r="C756" s="68"/>
      <c r="D756" s="77"/>
      <c r="E756" s="68"/>
    </row>
    <row r="757">
      <c r="C757" s="68"/>
      <c r="D757" s="77"/>
      <c r="E757" s="68"/>
    </row>
    <row r="758">
      <c r="C758" s="68"/>
      <c r="D758" s="77"/>
      <c r="E758" s="68"/>
    </row>
    <row r="759">
      <c r="C759" s="68"/>
      <c r="D759" s="77"/>
      <c r="E759" s="68"/>
    </row>
    <row r="760">
      <c r="C760" s="68"/>
      <c r="D760" s="77"/>
      <c r="E760" s="68"/>
    </row>
    <row r="761">
      <c r="C761" s="68"/>
      <c r="D761" s="77"/>
      <c r="E761" s="68"/>
    </row>
    <row r="762">
      <c r="C762" s="68"/>
      <c r="D762" s="77"/>
      <c r="E762" s="68"/>
    </row>
    <row r="763">
      <c r="C763" s="68"/>
      <c r="D763" s="77"/>
      <c r="E763" s="68"/>
    </row>
    <row r="764">
      <c r="C764" s="68"/>
      <c r="D764" s="77"/>
      <c r="E764" s="68"/>
    </row>
    <row r="765">
      <c r="C765" s="68"/>
      <c r="D765" s="77"/>
      <c r="E765" s="68"/>
    </row>
    <row r="766">
      <c r="C766" s="68"/>
      <c r="D766" s="77"/>
      <c r="E766" s="68"/>
    </row>
    <row r="767">
      <c r="C767" s="68"/>
      <c r="D767" s="77"/>
      <c r="E767" s="68"/>
    </row>
    <row r="768">
      <c r="C768" s="68"/>
      <c r="D768" s="77"/>
      <c r="E768" s="68"/>
    </row>
    <row r="769">
      <c r="C769" s="68"/>
      <c r="D769" s="77"/>
      <c r="E769" s="68"/>
    </row>
    <row r="770">
      <c r="C770" s="68"/>
      <c r="D770" s="77"/>
      <c r="E770" s="68"/>
    </row>
    <row r="771">
      <c r="C771" s="68"/>
      <c r="D771" s="77"/>
      <c r="E771" s="68"/>
    </row>
    <row r="772">
      <c r="C772" s="68"/>
      <c r="D772" s="77"/>
      <c r="E772" s="68"/>
    </row>
    <row r="773">
      <c r="C773" s="68"/>
      <c r="D773" s="77"/>
      <c r="E773" s="68"/>
    </row>
    <row r="774">
      <c r="C774" s="68"/>
      <c r="D774" s="77"/>
      <c r="E774" s="68"/>
    </row>
    <row r="775">
      <c r="C775" s="68"/>
      <c r="D775" s="77"/>
      <c r="E775" s="68"/>
    </row>
    <row r="776">
      <c r="C776" s="68"/>
      <c r="D776" s="77"/>
      <c r="E776" s="68"/>
    </row>
    <row r="777">
      <c r="C777" s="68"/>
      <c r="D777" s="77"/>
      <c r="E777" s="68"/>
    </row>
    <row r="778">
      <c r="C778" s="68"/>
      <c r="D778" s="77"/>
      <c r="E778" s="68"/>
    </row>
    <row r="779">
      <c r="C779" s="68"/>
      <c r="D779" s="77"/>
      <c r="E779" s="68"/>
    </row>
    <row r="780">
      <c r="C780" s="68"/>
      <c r="D780" s="77"/>
      <c r="E780" s="68"/>
    </row>
    <row r="781">
      <c r="C781" s="68"/>
      <c r="D781" s="77"/>
      <c r="E781" s="68"/>
    </row>
    <row r="782">
      <c r="C782" s="68"/>
      <c r="D782" s="77"/>
      <c r="E782" s="68"/>
    </row>
    <row r="783">
      <c r="C783" s="68"/>
      <c r="D783" s="77"/>
      <c r="E783" s="68"/>
    </row>
    <row r="784">
      <c r="C784" s="68"/>
      <c r="D784" s="77"/>
      <c r="E784" s="68"/>
    </row>
    <row r="785">
      <c r="C785" s="68"/>
      <c r="D785" s="77"/>
      <c r="E785" s="68"/>
    </row>
    <row r="786">
      <c r="C786" s="68"/>
      <c r="D786" s="77"/>
      <c r="E786" s="68"/>
    </row>
    <row r="787">
      <c r="C787" s="68"/>
      <c r="D787" s="77"/>
      <c r="E787" s="68"/>
    </row>
    <row r="788">
      <c r="C788" s="68"/>
      <c r="D788" s="77"/>
      <c r="E788" s="68"/>
    </row>
    <row r="789">
      <c r="C789" s="68"/>
      <c r="D789" s="77"/>
      <c r="E789" s="68"/>
    </row>
    <row r="790">
      <c r="C790" s="68"/>
      <c r="D790" s="77"/>
      <c r="E790" s="68"/>
    </row>
    <row r="791">
      <c r="C791" s="68"/>
      <c r="D791" s="77"/>
      <c r="E791" s="68"/>
    </row>
    <row r="792">
      <c r="C792" s="68"/>
      <c r="D792" s="77"/>
      <c r="E792" s="68"/>
    </row>
    <row r="793">
      <c r="C793" s="68"/>
      <c r="D793" s="77"/>
      <c r="E793" s="68"/>
    </row>
    <row r="794">
      <c r="C794" s="68"/>
      <c r="D794" s="77"/>
      <c r="E794" s="68"/>
    </row>
    <row r="795">
      <c r="C795" s="68"/>
      <c r="D795" s="77"/>
      <c r="E795" s="68"/>
    </row>
    <row r="796">
      <c r="C796" s="68"/>
      <c r="D796" s="77"/>
      <c r="E796" s="68"/>
    </row>
    <row r="797">
      <c r="C797" s="68"/>
      <c r="D797" s="77"/>
      <c r="E797" s="68"/>
    </row>
    <row r="798">
      <c r="C798" s="68"/>
      <c r="D798" s="77"/>
      <c r="E798" s="68"/>
    </row>
    <row r="799">
      <c r="C799" s="68"/>
      <c r="D799" s="77"/>
      <c r="E799" s="68"/>
    </row>
    <row r="800">
      <c r="C800" s="68"/>
      <c r="D800" s="77"/>
      <c r="E800" s="68"/>
    </row>
    <row r="801">
      <c r="C801" s="68"/>
      <c r="D801" s="77"/>
      <c r="E801" s="68"/>
    </row>
    <row r="802">
      <c r="C802" s="68"/>
      <c r="D802" s="77"/>
      <c r="E802" s="68"/>
    </row>
    <row r="803">
      <c r="C803" s="68"/>
      <c r="D803" s="77"/>
      <c r="E803" s="68"/>
    </row>
    <row r="804">
      <c r="C804" s="68"/>
      <c r="D804" s="77"/>
      <c r="E804" s="68"/>
    </row>
    <row r="805">
      <c r="C805" s="68"/>
      <c r="D805" s="77"/>
      <c r="E805" s="68"/>
    </row>
    <row r="806">
      <c r="C806" s="68"/>
      <c r="D806" s="77"/>
      <c r="E806" s="68"/>
    </row>
    <row r="807">
      <c r="C807" s="68"/>
      <c r="D807" s="77"/>
      <c r="E807" s="68"/>
    </row>
    <row r="808">
      <c r="C808" s="68"/>
      <c r="D808" s="77"/>
      <c r="E808" s="68"/>
    </row>
    <row r="809">
      <c r="C809" s="68"/>
      <c r="D809" s="77"/>
      <c r="E809" s="68"/>
    </row>
    <row r="810">
      <c r="C810" s="68"/>
      <c r="D810" s="77"/>
      <c r="E810" s="68"/>
    </row>
    <row r="811">
      <c r="C811" s="68"/>
      <c r="D811" s="77"/>
      <c r="E811" s="68"/>
    </row>
    <row r="812">
      <c r="C812" s="68"/>
      <c r="D812" s="77"/>
      <c r="E812" s="68"/>
    </row>
    <row r="813">
      <c r="C813" s="68"/>
      <c r="D813" s="77"/>
      <c r="E813" s="68"/>
    </row>
    <row r="814">
      <c r="C814" s="68"/>
      <c r="D814" s="77"/>
      <c r="E814" s="68"/>
    </row>
    <row r="815">
      <c r="C815" s="68"/>
      <c r="D815" s="77"/>
      <c r="E815" s="68"/>
    </row>
    <row r="816">
      <c r="C816" s="68"/>
      <c r="D816" s="77"/>
      <c r="E816" s="68"/>
    </row>
    <row r="817">
      <c r="C817" s="68"/>
      <c r="D817" s="77"/>
      <c r="E817" s="68"/>
    </row>
    <row r="818">
      <c r="C818" s="68"/>
      <c r="D818" s="77"/>
      <c r="E818" s="68"/>
    </row>
    <row r="819">
      <c r="C819" s="68"/>
      <c r="D819" s="77"/>
      <c r="E819" s="68"/>
    </row>
    <row r="820">
      <c r="C820" s="68"/>
      <c r="D820" s="77"/>
      <c r="E820" s="68"/>
    </row>
    <row r="821">
      <c r="C821" s="68"/>
      <c r="D821" s="77"/>
      <c r="E821" s="68"/>
    </row>
    <row r="822">
      <c r="C822" s="68"/>
      <c r="D822" s="77"/>
      <c r="E822" s="68"/>
    </row>
    <row r="823">
      <c r="C823" s="68"/>
      <c r="D823" s="77"/>
      <c r="E823" s="68"/>
    </row>
    <row r="824">
      <c r="C824" s="68"/>
      <c r="D824" s="77"/>
      <c r="E824" s="68"/>
    </row>
    <row r="825">
      <c r="C825" s="68"/>
      <c r="D825" s="77"/>
      <c r="E825" s="68"/>
    </row>
    <row r="826">
      <c r="C826" s="68"/>
      <c r="D826" s="77"/>
      <c r="E826" s="68"/>
    </row>
    <row r="827">
      <c r="C827" s="68"/>
      <c r="D827" s="77"/>
      <c r="E827" s="68"/>
    </row>
    <row r="828">
      <c r="C828" s="68"/>
      <c r="D828" s="77"/>
      <c r="E828" s="68"/>
    </row>
    <row r="829">
      <c r="C829" s="68"/>
      <c r="D829" s="77"/>
      <c r="E829" s="68"/>
    </row>
    <row r="830">
      <c r="C830" s="68"/>
      <c r="D830" s="77"/>
      <c r="E830" s="68"/>
    </row>
    <row r="831">
      <c r="C831" s="68"/>
      <c r="D831" s="77"/>
      <c r="E831" s="68"/>
    </row>
    <row r="832">
      <c r="C832" s="68"/>
      <c r="D832" s="77"/>
      <c r="E832" s="68"/>
    </row>
    <row r="833">
      <c r="C833" s="68"/>
      <c r="D833" s="77"/>
      <c r="E833" s="68"/>
    </row>
    <row r="834">
      <c r="C834" s="68"/>
      <c r="D834" s="77"/>
      <c r="E834" s="68"/>
    </row>
    <row r="835">
      <c r="C835" s="68"/>
      <c r="D835" s="77"/>
      <c r="E835" s="68"/>
    </row>
    <row r="836">
      <c r="C836" s="68"/>
      <c r="D836" s="77"/>
      <c r="E836" s="68"/>
    </row>
    <row r="837">
      <c r="C837" s="68"/>
      <c r="D837" s="77"/>
      <c r="E837" s="68"/>
    </row>
    <row r="838">
      <c r="C838" s="68"/>
      <c r="D838" s="77"/>
      <c r="E838" s="68"/>
    </row>
    <row r="839">
      <c r="C839" s="68"/>
      <c r="D839" s="77"/>
      <c r="E839" s="68"/>
    </row>
    <row r="840">
      <c r="C840" s="68"/>
      <c r="D840" s="77"/>
      <c r="E840" s="68"/>
    </row>
    <row r="841">
      <c r="C841" s="68"/>
      <c r="D841" s="77"/>
      <c r="E841" s="68"/>
    </row>
    <row r="842">
      <c r="C842" s="68"/>
      <c r="D842" s="77"/>
      <c r="E842" s="68"/>
    </row>
    <row r="843">
      <c r="C843" s="68"/>
      <c r="D843" s="77"/>
      <c r="E843" s="68"/>
    </row>
    <row r="844">
      <c r="C844" s="68"/>
      <c r="D844" s="77"/>
      <c r="E844" s="68"/>
    </row>
    <row r="845">
      <c r="C845" s="68"/>
      <c r="D845" s="77"/>
      <c r="E845" s="68"/>
    </row>
    <row r="846">
      <c r="C846" s="68"/>
      <c r="D846" s="77"/>
      <c r="E846" s="68"/>
    </row>
    <row r="847">
      <c r="C847" s="68"/>
      <c r="D847" s="77"/>
      <c r="E847" s="68"/>
    </row>
    <row r="848">
      <c r="C848" s="68"/>
      <c r="D848" s="77"/>
      <c r="E848" s="68"/>
    </row>
    <row r="849">
      <c r="C849" s="68"/>
      <c r="D849" s="77"/>
      <c r="E849" s="68"/>
    </row>
    <row r="850">
      <c r="C850" s="68"/>
      <c r="D850" s="77"/>
      <c r="E850" s="68"/>
    </row>
    <row r="851">
      <c r="C851" s="68"/>
      <c r="D851" s="77"/>
      <c r="E851" s="68"/>
    </row>
    <row r="852">
      <c r="C852" s="68"/>
      <c r="D852" s="77"/>
      <c r="E852" s="68"/>
    </row>
    <row r="853">
      <c r="C853" s="68"/>
      <c r="D853" s="77"/>
      <c r="E853" s="68"/>
    </row>
    <row r="854">
      <c r="C854" s="68"/>
      <c r="D854" s="77"/>
      <c r="E854" s="68"/>
    </row>
    <row r="855">
      <c r="C855" s="68"/>
      <c r="D855" s="77"/>
      <c r="E855" s="68"/>
    </row>
    <row r="856">
      <c r="C856" s="68"/>
      <c r="D856" s="77"/>
      <c r="E856" s="68"/>
    </row>
    <row r="857">
      <c r="C857" s="68"/>
      <c r="D857" s="77"/>
      <c r="E857" s="68"/>
    </row>
    <row r="858">
      <c r="C858" s="68"/>
      <c r="D858" s="77"/>
      <c r="E858" s="68"/>
    </row>
    <row r="859">
      <c r="C859" s="68"/>
      <c r="D859" s="77"/>
      <c r="E859" s="68"/>
    </row>
    <row r="860">
      <c r="C860" s="68"/>
      <c r="D860" s="77"/>
      <c r="E860" s="68"/>
    </row>
    <row r="861">
      <c r="C861" s="68"/>
      <c r="D861" s="77"/>
      <c r="E861" s="68"/>
    </row>
    <row r="862">
      <c r="C862" s="68"/>
      <c r="D862" s="77"/>
      <c r="E862" s="68"/>
    </row>
    <row r="863">
      <c r="C863" s="68"/>
      <c r="D863" s="77"/>
      <c r="E863" s="68"/>
    </row>
    <row r="864">
      <c r="C864" s="68"/>
      <c r="D864" s="77"/>
      <c r="E864" s="68"/>
    </row>
    <row r="865">
      <c r="C865" s="68"/>
      <c r="D865" s="77"/>
      <c r="E865" s="68"/>
    </row>
    <row r="866">
      <c r="C866" s="68"/>
      <c r="D866" s="77"/>
      <c r="E866" s="68"/>
    </row>
    <row r="867">
      <c r="C867" s="68"/>
      <c r="D867" s="77"/>
      <c r="E867" s="68"/>
    </row>
    <row r="868">
      <c r="C868" s="68"/>
      <c r="D868" s="77"/>
      <c r="E868" s="68"/>
    </row>
    <row r="869">
      <c r="C869" s="68"/>
      <c r="D869" s="77"/>
      <c r="E869" s="68"/>
    </row>
    <row r="870">
      <c r="C870" s="68"/>
      <c r="D870" s="77"/>
      <c r="E870" s="68"/>
    </row>
    <row r="871">
      <c r="C871" s="68"/>
      <c r="D871" s="77"/>
      <c r="E871" s="68"/>
    </row>
    <row r="872">
      <c r="C872" s="68"/>
      <c r="D872" s="77"/>
      <c r="E872" s="68"/>
    </row>
    <row r="873">
      <c r="C873" s="68"/>
      <c r="D873" s="77"/>
      <c r="E873" s="68"/>
    </row>
    <row r="874">
      <c r="C874" s="68"/>
      <c r="D874" s="77"/>
      <c r="E874" s="68"/>
    </row>
    <row r="875">
      <c r="C875" s="68"/>
      <c r="D875" s="77"/>
      <c r="E875" s="68"/>
    </row>
    <row r="876">
      <c r="C876" s="68"/>
      <c r="D876" s="77"/>
      <c r="E876" s="68"/>
    </row>
    <row r="877">
      <c r="C877" s="68"/>
      <c r="D877" s="77"/>
      <c r="E877" s="68"/>
    </row>
    <row r="878">
      <c r="C878" s="68"/>
      <c r="D878" s="77"/>
      <c r="E878" s="68"/>
    </row>
    <row r="879">
      <c r="C879" s="68"/>
      <c r="D879" s="77"/>
      <c r="E879" s="68"/>
    </row>
    <row r="880">
      <c r="C880" s="68"/>
      <c r="D880" s="77"/>
      <c r="E880" s="68"/>
    </row>
    <row r="881">
      <c r="C881" s="68"/>
      <c r="D881" s="77"/>
      <c r="E881" s="68"/>
    </row>
    <row r="882">
      <c r="C882" s="68"/>
      <c r="D882" s="77"/>
      <c r="E882" s="68"/>
    </row>
    <row r="883">
      <c r="C883" s="68"/>
      <c r="D883" s="77"/>
      <c r="E883" s="68"/>
    </row>
    <row r="884">
      <c r="C884" s="68"/>
      <c r="D884" s="77"/>
      <c r="E884" s="68"/>
    </row>
    <row r="885">
      <c r="C885" s="68"/>
      <c r="D885" s="77"/>
      <c r="E885" s="68"/>
    </row>
    <row r="886">
      <c r="C886" s="68"/>
      <c r="D886" s="77"/>
      <c r="E886" s="68"/>
    </row>
    <row r="887">
      <c r="C887" s="68"/>
      <c r="D887" s="77"/>
      <c r="E887" s="68"/>
    </row>
    <row r="888">
      <c r="C888" s="68"/>
      <c r="D888" s="77"/>
      <c r="E888" s="68"/>
    </row>
    <row r="889">
      <c r="C889" s="68"/>
      <c r="D889" s="77"/>
      <c r="E889" s="68"/>
    </row>
    <row r="890">
      <c r="C890" s="68"/>
      <c r="D890" s="77"/>
      <c r="E890" s="68"/>
    </row>
    <row r="891">
      <c r="C891" s="68"/>
      <c r="D891" s="77"/>
      <c r="E891" s="68"/>
    </row>
    <row r="892">
      <c r="C892" s="68"/>
      <c r="D892" s="77"/>
      <c r="E892" s="68"/>
    </row>
    <row r="893">
      <c r="C893" s="68"/>
      <c r="D893" s="77"/>
      <c r="E893" s="68"/>
    </row>
    <row r="894">
      <c r="C894" s="68"/>
      <c r="D894" s="77"/>
      <c r="E894" s="68"/>
    </row>
    <row r="895">
      <c r="C895" s="68"/>
      <c r="D895" s="77"/>
      <c r="E895" s="68"/>
    </row>
    <row r="896">
      <c r="C896" s="68"/>
      <c r="D896" s="77"/>
      <c r="E896" s="68"/>
    </row>
    <row r="897">
      <c r="C897" s="68"/>
      <c r="D897" s="77"/>
      <c r="E897" s="68"/>
    </row>
    <row r="898">
      <c r="C898" s="68"/>
      <c r="D898" s="77"/>
      <c r="E898" s="68"/>
    </row>
    <row r="899">
      <c r="C899" s="68"/>
      <c r="D899" s="77"/>
      <c r="E899" s="68"/>
    </row>
    <row r="900">
      <c r="C900" s="68"/>
      <c r="D900" s="77"/>
      <c r="E900" s="68"/>
    </row>
    <row r="901">
      <c r="C901" s="68"/>
      <c r="D901" s="77"/>
      <c r="E901" s="68"/>
    </row>
    <row r="902">
      <c r="C902" s="68"/>
      <c r="D902" s="77"/>
      <c r="E902" s="68"/>
    </row>
    <row r="903">
      <c r="C903" s="68"/>
      <c r="D903" s="77"/>
      <c r="E903" s="68"/>
    </row>
    <row r="904">
      <c r="C904" s="68"/>
      <c r="D904" s="77"/>
      <c r="E904" s="68"/>
    </row>
    <row r="905">
      <c r="C905" s="68"/>
      <c r="D905" s="77"/>
      <c r="E905" s="68"/>
    </row>
    <row r="906">
      <c r="C906" s="68"/>
      <c r="D906" s="77"/>
      <c r="E906" s="68"/>
    </row>
    <row r="907">
      <c r="C907" s="68"/>
      <c r="D907" s="77"/>
      <c r="E907" s="68"/>
    </row>
    <row r="908">
      <c r="C908" s="68"/>
      <c r="D908" s="77"/>
      <c r="E908" s="68"/>
    </row>
    <row r="909">
      <c r="C909" s="68"/>
      <c r="D909" s="77"/>
      <c r="E909" s="68"/>
    </row>
    <row r="910">
      <c r="C910" s="68"/>
      <c r="D910" s="77"/>
      <c r="E910" s="68"/>
    </row>
    <row r="911">
      <c r="C911" s="68"/>
      <c r="D911" s="77"/>
      <c r="E911" s="68"/>
    </row>
    <row r="912">
      <c r="C912" s="68"/>
      <c r="D912" s="77"/>
      <c r="E912" s="68"/>
    </row>
    <row r="913">
      <c r="C913" s="68"/>
      <c r="D913" s="77"/>
      <c r="E913" s="68"/>
    </row>
    <row r="914">
      <c r="C914" s="68"/>
      <c r="D914" s="77"/>
      <c r="E914" s="68"/>
    </row>
    <row r="915">
      <c r="C915" s="68"/>
      <c r="D915" s="77"/>
      <c r="E915" s="68"/>
    </row>
    <row r="916">
      <c r="C916" s="68"/>
      <c r="D916" s="77"/>
      <c r="E916" s="68"/>
    </row>
    <row r="917">
      <c r="C917" s="68"/>
      <c r="D917" s="77"/>
      <c r="E917" s="68"/>
    </row>
    <row r="918">
      <c r="C918" s="68"/>
      <c r="D918" s="77"/>
      <c r="E918" s="68"/>
    </row>
    <row r="919">
      <c r="C919" s="68"/>
      <c r="D919" s="77"/>
      <c r="E919" s="68"/>
    </row>
    <row r="920">
      <c r="C920" s="68"/>
      <c r="D920" s="77"/>
      <c r="E920" s="68"/>
    </row>
    <row r="921">
      <c r="C921" s="68"/>
      <c r="D921" s="77"/>
      <c r="E921" s="68"/>
    </row>
    <row r="922">
      <c r="C922" s="68"/>
      <c r="D922" s="77"/>
      <c r="E922" s="68"/>
    </row>
    <row r="923">
      <c r="C923" s="68"/>
      <c r="D923" s="77"/>
      <c r="E923" s="68"/>
    </row>
    <row r="924">
      <c r="C924" s="68"/>
      <c r="D924" s="77"/>
      <c r="E924" s="68"/>
    </row>
    <row r="925">
      <c r="C925" s="68"/>
      <c r="D925" s="77"/>
      <c r="E925" s="68"/>
    </row>
    <row r="926">
      <c r="C926" s="68"/>
      <c r="D926" s="77"/>
      <c r="E926" s="68"/>
    </row>
    <row r="927">
      <c r="C927" s="68"/>
      <c r="D927" s="77"/>
      <c r="E927" s="68"/>
    </row>
    <row r="928">
      <c r="C928" s="68"/>
      <c r="D928" s="77"/>
      <c r="E928" s="68"/>
    </row>
    <row r="929">
      <c r="C929" s="68"/>
      <c r="D929" s="77"/>
      <c r="E929" s="68"/>
    </row>
    <row r="930">
      <c r="C930" s="68"/>
      <c r="D930" s="77"/>
      <c r="E930" s="68"/>
    </row>
    <row r="931">
      <c r="C931" s="68"/>
      <c r="D931" s="77"/>
      <c r="E931" s="68"/>
    </row>
    <row r="932">
      <c r="C932" s="68"/>
      <c r="D932" s="77"/>
      <c r="E932" s="68"/>
    </row>
    <row r="933">
      <c r="C933" s="68"/>
      <c r="D933" s="77"/>
      <c r="E933" s="68"/>
    </row>
    <row r="934">
      <c r="C934" s="68"/>
      <c r="D934" s="77"/>
      <c r="E934" s="68"/>
    </row>
    <row r="935">
      <c r="C935" s="68"/>
      <c r="D935" s="77"/>
      <c r="E935" s="68"/>
    </row>
    <row r="936">
      <c r="C936" s="68"/>
      <c r="D936" s="77"/>
      <c r="E936" s="68"/>
    </row>
    <row r="937">
      <c r="C937" s="68"/>
      <c r="D937" s="77"/>
      <c r="E937" s="68"/>
    </row>
    <row r="938">
      <c r="C938" s="68"/>
      <c r="D938" s="77"/>
      <c r="E938" s="68"/>
    </row>
    <row r="939">
      <c r="C939" s="68"/>
      <c r="D939" s="77"/>
      <c r="E939" s="68"/>
    </row>
    <row r="940">
      <c r="C940" s="68"/>
      <c r="D940" s="77"/>
      <c r="E940" s="68"/>
    </row>
    <row r="941">
      <c r="C941" s="68"/>
      <c r="D941" s="77"/>
      <c r="E941" s="68"/>
    </row>
    <row r="942">
      <c r="C942" s="68"/>
      <c r="D942" s="77"/>
      <c r="E942" s="68"/>
    </row>
    <row r="943">
      <c r="C943" s="68"/>
      <c r="D943" s="77"/>
      <c r="E943" s="68"/>
    </row>
    <row r="944">
      <c r="C944" s="68"/>
      <c r="D944" s="77"/>
      <c r="E944" s="68"/>
    </row>
    <row r="945">
      <c r="C945" s="68"/>
      <c r="D945" s="77"/>
      <c r="E945" s="68"/>
    </row>
    <row r="946">
      <c r="C946" s="68"/>
      <c r="D946" s="77"/>
      <c r="E946" s="68"/>
    </row>
    <row r="947">
      <c r="C947" s="68"/>
      <c r="D947" s="77"/>
      <c r="E947" s="68"/>
    </row>
    <row r="948">
      <c r="C948" s="68"/>
      <c r="D948" s="77"/>
      <c r="E948" s="68"/>
    </row>
    <row r="949">
      <c r="C949" s="68"/>
      <c r="D949" s="77"/>
      <c r="E949" s="68"/>
    </row>
    <row r="950">
      <c r="C950" s="68"/>
      <c r="D950" s="77"/>
      <c r="E950" s="68"/>
    </row>
    <row r="951">
      <c r="C951" s="68"/>
      <c r="D951" s="77"/>
      <c r="E951" s="68"/>
    </row>
    <row r="952">
      <c r="C952" s="68"/>
      <c r="D952" s="77"/>
      <c r="E952" s="68"/>
    </row>
    <row r="953">
      <c r="C953" s="68"/>
      <c r="D953" s="77"/>
      <c r="E953" s="68"/>
    </row>
    <row r="954">
      <c r="C954" s="68"/>
      <c r="D954" s="77"/>
      <c r="E954" s="68"/>
    </row>
    <row r="955">
      <c r="C955" s="68"/>
      <c r="D955" s="77"/>
      <c r="E955" s="68"/>
    </row>
    <row r="956">
      <c r="C956" s="68"/>
      <c r="D956" s="77"/>
      <c r="E956" s="68"/>
    </row>
    <row r="957">
      <c r="C957" s="68"/>
      <c r="D957" s="77"/>
      <c r="E957" s="68"/>
    </row>
    <row r="958">
      <c r="C958" s="68"/>
      <c r="D958" s="77"/>
      <c r="E958" s="68"/>
    </row>
    <row r="959">
      <c r="C959" s="68"/>
      <c r="D959" s="77"/>
      <c r="E959" s="68"/>
    </row>
    <row r="960">
      <c r="C960" s="68"/>
      <c r="D960" s="77"/>
      <c r="E960" s="68"/>
    </row>
    <row r="961">
      <c r="C961" s="68"/>
      <c r="D961" s="77"/>
      <c r="E961" s="68"/>
    </row>
    <row r="962">
      <c r="C962" s="68"/>
      <c r="D962" s="77"/>
      <c r="E962" s="68"/>
    </row>
    <row r="963">
      <c r="C963" s="68"/>
      <c r="D963" s="77"/>
      <c r="E963" s="68"/>
    </row>
    <row r="964">
      <c r="C964" s="68"/>
      <c r="D964" s="77"/>
      <c r="E964" s="68"/>
    </row>
    <row r="965">
      <c r="C965" s="68"/>
      <c r="D965" s="77"/>
      <c r="E965" s="68"/>
    </row>
    <row r="966">
      <c r="C966" s="68"/>
      <c r="D966" s="77"/>
      <c r="E966" s="68"/>
    </row>
    <row r="967">
      <c r="C967" s="68"/>
      <c r="D967" s="77"/>
      <c r="E967" s="68"/>
    </row>
    <row r="968">
      <c r="C968" s="68"/>
      <c r="D968" s="77"/>
      <c r="E968" s="68"/>
    </row>
    <row r="969">
      <c r="C969" s="68"/>
      <c r="D969" s="77"/>
      <c r="E969" s="68"/>
    </row>
    <row r="970">
      <c r="C970" s="68"/>
      <c r="D970" s="77"/>
      <c r="E970" s="68"/>
    </row>
    <row r="971">
      <c r="C971" s="68"/>
      <c r="D971" s="77"/>
      <c r="E971" s="68"/>
    </row>
    <row r="972">
      <c r="C972" s="68"/>
      <c r="D972" s="77"/>
      <c r="E972" s="68"/>
    </row>
    <row r="973">
      <c r="C973" s="68"/>
      <c r="D973" s="77"/>
      <c r="E973" s="68"/>
    </row>
    <row r="974">
      <c r="C974" s="68"/>
      <c r="D974" s="77"/>
      <c r="E974" s="68"/>
    </row>
    <row r="975">
      <c r="C975" s="68"/>
      <c r="D975" s="77"/>
      <c r="E975" s="68"/>
    </row>
    <row r="976">
      <c r="C976" s="68"/>
      <c r="D976" s="77"/>
      <c r="E976" s="68"/>
    </row>
    <row r="977">
      <c r="C977" s="68"/>
      <c r="D977" s="77"/>
      <c r="E977" s="68"/>
    </row>
    <row r="978">
      <c r="C978" s="68"/>
      <c r="D978" s="77"/>
      <c r="E978" s="68"/>
    </row>
    <row r="979">
      <c r="C979" s="68"/>
      <c r="D979" s="77"/>
      <c r="E979" s="68"/>
    </row>
    <row r="980">
      <c r="C980" s="68"/>
      <c r="D980" s="77"/>
      <c r="E980" s="68"/>
    </row>
    <row r="981">
      <c r="C981" s="68"/>
      <c r="D981" s="77"/>
      <c r="E981" s="68"/>
    </row>
    <row r="982">
      <c r="C982" s="68"/>
      <c r="D982" s="77"/>
      <c r="E982" s="68"/>
    </row>
    <row r="983">
      <c r="C983" s="68"/>
      <c r="D983" s="77"/>
      <c r="E983" s="68"/>
    </row>
    <row r="984">
      <c r="C984" s="68"/>
      <c r="D984" s="77"/>
      <c r="E984" s="68"/>
    </row>
    <row r="985">
      <c r="C985" s="68"/>
      <c r="D985" s="77"/>
      <c r="E985" s="68"/>
    </row>
    <row r="986">
      <c r="C986" s="68"/>
      <c r="D986" s="77"/>
      <c r="E986" s="68"/>
    </row>
    <row r="987">
      <c r="C987" s="68"/>
      <c r="D987" s="77"/>
      <c r="E987" s="68"/>
    </row>
    <row r="988">
      <c r="C988" s="68"/>
      <c r="D988" s="77"/>
      <c r="E988" s="68"/>
    </row>
    <row r="989">
      <c r="C989" s="68"/>
      <c r="D989" s="77"/>
      <c r="E989" s="68"/>
    </row>
    <row r="990">
      <c r="C990" s="68"/>
      <c r="D990" s="77"/>
      <c r="E990" s="68"/>
    </row>
    <row r="991">
      <c r="C991" s="68"/>
      <c r="D991" s="77"/>
      <c r="E991" s="68"/>
    </row>
    <row r="992">
      <c r="C992" s="68"/>
      <c r="D992" s="77"/>
      <c r="E992" s="68"/>
    </row>
    <row r="993">
      <c r="C993" s="68"/>
      <c r="D993" s="77"/>
      <c r="E993" s="68"/>
    </row>
    <row r="994">
      <c r="C994" s="68"/>
      <c r="D994" s="77"/>
      <c r="E994" s="68"/>
    </row>
    <row r="995">
      <c r="C995" s="68"/>
      <c r="D995" s="77"/>
      <c r="E995" s="68"/>
    </row>
    <row r="996">
      <c r="C996" s="68"/>
      <c r="D996" s="77"/>
      <c r="E996" s="68"/>
    </row>
    <row r="997">
      <c r="C997" s="68"/>
      <c r="D997" s="77"/>
      <c r="E997" s="68"/>
    </row>
    <row r="998">
      <c r="C998" s="68"/>
      <c r="D998" s="77"/>
      <c r="E998" s="68"/>
    </row>
    <row r="999">
      <c r="C999" s="68"/>
      <c r="D999" s="77"/>
      <c r="E999" s="68"/>
    </row>
    <row r="1000">
      <c r="C1000" s="68"/>
      <c r="D1000" s="77"/>
      <c r="E1000" s="68"/>
    </row>
    <row r="1001">
      <c r="C1001" s="68"/>
      <c r="D1001" s="77"/>
      <c r="E1001" s="68"/>
    </row>
    <row r="1002">
      <c r="C1002" s="68"/>
      <c r="D1002" s="77"/>
      <c r="E1002" s="68"/>
    </row>
    <row r="1003">
      <c r="C1003" s="68"/>
      <c r="D1003" s="77"/>
      <c r="E1003" s="68"/>
    </row>
    <row r="1004">
      <c r="C1004" s="68"/>
      <c r="D1004" s="77"/>
      <c r="E1004" s="68"/>
    </row>
    <row r="1005">
      <c r="C1005" s="68"/>
      <c r="D1005" s="77"/>
      <c r="E1005" s="68"/>
    </row>
    <row r="1006">
      <c r="C1006" s="68"/>
      <c r="D1006" s="77"/>
      <c r="E1006" s="68"/>
    </row>
    <row r="1007">
      <c r="C1007" s="68"/>
      <c r="D1007" s="77"/>
      <c r="E1007" s="68"/>
    </row>
    <row r="1008">
      <c r="C1008" s="68"/>
      <c r="D1008" s="77"/>
      <c r="E1008" s="68"/>
    </row>
    <row r="1009">
      <c r="C1009" s="68"/>
      <c r="D1009" s="77"/>
      <c r="E1009" s="68"/>
    </row>
  </sheetData>
  <mergeCells count="5">
    <mergeCell ref="B2:I2"/>
    <mergeCell ref="B13:I13"/>
    <mergeCell ref="B19:I19"/>
    <mergeCell ref="B26:I26"/>
    <mergeCell ref="B38:I38"/>
  </mergeCells>
  <conditionalFormatting sqref="J1:J10 B2:D5 E2:F7 G2:I5 K2:K5 E11:E14 F11:F12 B13:D14 G13:H17 I13 F14:F15 K14 I15 J15:J26 C17:D17 E17:F18 I17 K17 B20:E20 F20:G25 H20:I22 K20 B22:E22 K22 C24:E24 H24:I24 K24 B27:C27 F27:F30 G27:I28 K27 J28:J31 E29 G30:I30 K30 B31:C35 E32:F37 I32:I33 K32:K35 D33 G33:G37 H33 J33:J55 K37 B39 C39:E44 F39:F40 G39:G44 H39:I39 K39 H41:H44 B42 F42:F44 I42:I44 K42">
    <cfRule type="notContainsBlanks" dxfId="0" priority="1">
      <formula>LEN(TRIM(J1))&gt;0</formula>
    </cfRule>
  </conditionalFormatting>
  <hyperlinks>
    <hyperlink r:id="rId4" ref="C1"/>
    <hyperlink r:id="rId5" ref="K14"/>
    <hyperlink r:id="rId6" ref="B48"/>
  </hyperlinks>
  <drawing r:id="rId7"/>
  <legacy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97</v>
      </c>
      <c r="B1" s="22" t="s">
        <v>176</v>
      </c>
    </row>
    <row r="2">
      <c r="A2" s="22" t="s">
        <v>326</v>
      </c>
      <c r="B2" s="22" t="s">
        <v>327</v>
      </c>
    </row>
    <row r="3">
      <c r="A3" s="22" t="s">
        <v>328</v>
      </c>
      <c r="B3" s="149" t="s">
        <v>329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11.38"/>
    <col customWidth="1" min="2" max="2" width="25.38"/>
    <col customWidth="1" min="3" max="3" width="28.38"/>
    <col customWidth="1" min="4" max="4" width="28.25"/>
    <col customWidth="1" min="6" max="6" width="38.13"/>
  </cols>
  <sheetData>
    <row r="1">
      <c r="A1" s="150" t="s">
        <v>245</v>
      </c>
      <c r="B1" s="22" t="s">
        <v>137</v>
      </c>
      <c r="D1" s="22" t="s">
        <v>330</v>
      </c>
      <c r="E1" s="22" t="s">
        <v>161</v>
      </c>
      <c r="F1" s="22" t="s">
        <v>331</v>
      </c>
      <c r="G1" s="23" t="s">
        <v>332</v>
      </c>
    </row>
    <row r="2">
      <c r="A2" s="151">
        <v>46082.0</v>
      </c>
      <c r="B2" s="152" t="s">
        <v>333</v>
      </c>
      <c r="C2" s="152" t="s">
        <v>334</v>
      </c>
      <c r="D2" s="152" t="s">
        <v>327</v>
      </c>
      <c r="E2" s="102" t="s">
        <v>335</v>
      </c>
      <c r="F2" s="153" t="s">
        <v>336</v>
      </c>
    </row>
    <row r="3">
      <c r="A3" s="154">
        <v>46083.0</v>
      </c>
      <c r="B3" s="152" t="s">
        <v>337</v>
      </c>
      <c r="C3" s="155"/>
      <c r="D3" s="152" t="s">
        <v>338</v>
      </c>
      <c r="E3" s="152" t="s">
        <v>335</v>
      </c>
      <c r="F3" s="156"/>
    </row>
    <row r="4" ht="129.75" customHeight="1">
      <c r="A4" s="157">
        <v>46084.0</v>
      </c>
      <c r="B4" s="152" t="s">
        <v>339</v>
      </c>
      <c r="C4" s="152" t="s">
        <v>340</v>
      </c>
      <c r="D4" s="152" t="s">
        <v>327</v>
      </c>
      <c r="E4" s="152" t="s">
        <v>335</v>
      </c>
      <c r="F4" s="158" t="s">
        <v>341</v>
      </c>
    </row>
    <row r="5" ht="118.5" customHeight="1">
      <c r="A5" s="157">
        <v>46085.0</v>
      </c>
      <c r="B5" s="152" t="s">
        <v>342</v>
      </c>
      <c r="C5" s="152" t="s">
        <v>343</v>
      </c>
      <c r="D5" s="152" t="s">
        <v>327</v>
      </c>
      <c r="E5" s="152" t="s">
        <v>344</v>
      </c>
      <c r="F5" s="158" t="s">
        <v>341</v>
      </c>
    </row>
    <row r="6">
      <c r="A6" s="159">
        <v>46086.0</v>
      </c>
      <c r="B6" s="124" t="s">
        <v>345</v>
      </c>
      <c r="C6" s="22" t="s">
        <v>346</v>
      </c>
      <c r="D6" s="82" t="s">
        <v>327</v>
      </c>
      <c r="E6" s="22" t="s">
        <v>347</v>
      </c>
      <c r="F6" s="160" t="s">
        <v>341</v>
      </c>
      <c r="H6" s="82" t="s">
        <v>305</v>
      </c>
    </row>
    <row r="7">
      <c r="A7" s="161">
        <v>46086.0</v>
      </c>
      <c r="B7" s="162" t="s">
        <v>348</v>
      </c>
      <c r="C7" s="163"/>
      <c r="D7" s="162" t="s">
        <v>327</v>
      </c>
      <c r="E7" s="162" t="s">
        <v>347</v>
      </c>
    </row>
    <row r="8">
      <c r="A8" s="161">
        <v>46086.0</v>
      </c>
      <c r="B8" s="164" t="s">
        <v>349</v>
      </c>
      <c r="C8" s="163"/>
      <c r="D8" s="162" t="s">
        <v>327</v>
      </c>
      <c r="E8" s="165" t="s">
        <v>335</v>
      </c>
      <c r="G8" s="22"/>
    </row>
    <row r="9">
      <c r="A9" s="159">
        <v>46087.0</v>
      </c>
      <c r="B9" s="124" t="s">
        <v>350</v>
      </c>
      <c r="D9" s="82" t="s">
        <v>327</v>
      </c>
      <c r="E9" s="166" t="s">
        <v>351</v>
      </c>
      <c r="G9" s="22" t="s">
        <v>352</v>
      </c>
    </row>
    <row r="10">
      <c r="A10" s="167">
        <v>46088.0</v>
      </c>
      <c r="B10" s="22"/>
      <c r="D10" s="22"/>
      <c r="F10" s="22" t="s">
        <v>353</v>
      </c>
      <c r="H10" s="22" t="s">
        <v>354</v>
      </c>
    </row>
    <row r="11">
      <c r="A11" s="128">
        <v>46089.0</v>
      </c>
      <c r="B11" s="22" t="s">
        <v>355</v>
      </c>
      <c r="D11" s="82" t="s">
        <v>338</v>
      </c>
    </row>
    <row r="12">
      <c r="A12" s="168">
        <v>46090.0</v>
      </c>
      <c r="B12" s="162" t="s">
        <v>356</v>
      </c>
      <c r="C12" s="162" t="s">
        <v>357</v>
      </c>
      <c r="D12" s="162" t="s">
        <v>327</v>
      </c>
      <c r="E12" s="162" t="s">
        <v>358</v>
      </c>
      <c r="F12" s="160" t="s">
        <v>341</v>
      </c>
    </row>
    <row r="13">
      <c r="A13" s="167">
        <v>46091.0</v>
      </c>
      <c r="B13" s="22" t="s">
        <v>359</v>
      </c>
      <c r="F13" s="22" t="s">
        <v>360</v>
      </c>
    </row>
    <row r="14">
      <c r="A14" s="167">
        <v>46092.0</v>
      </c>
      <c r="B14" s="22" t="s">
        <v>361</v>
      </c>
      <c r="F14" s="22" t="s">
        <v>362</v>
      </c>
    </row>
    <row r="15">
      <c r="A15" s="159">
        <v>46093.0</v>
      </c>
      <c r="B15" s="22" t="s">
        <v>363</v>
      </c>
    </row>
    <row r="16">
      <c r="A16" s="167">
        <v>46094.0</v>
      </c>
      <c r="B16" s="22" t="s">
        <v>364</v>
      </c>
      <c r="F16" s="22" t="s">
        <v>365</v>
      </c>
    </row>
    <row r="17">
      <c r="A17" s="169">
        <v>46095.0</v>
      </c>
      <c r="B17" s="22" t="s">
        <v>366</v>
      </c>
      <c r="D17" s="82" t="s">
        <v>338</v>
      </c>
    </row>
    <row r="18">
      <c r="A18" s="170">
        <v>46096.0</v>
      </c>
      <c r="B18" s="22" t="s">
        <v>367</v>
      </c>
      <c r="F18" s="22" t="s">
        <v>368</v>
      </c>
    </row>
    <row r="19">
      <c r="A19" s="170">
        <v>46097.0</v>
      </c>
      <c r="B19" s="22" t="s">
        <v>369</v>
      </c>
      <c r="F19" s="22" t="s">
        <v>370</v>
      </c>
    </row>
    <row r="20">
      <c r="A20" s="170">
        <v>46098.0</v>
      </c>
      <c r="B20" s="22" t="s">
        <v>363</v>
      </c>
    </row>
    <row r="21">
      <c r="A21" s="171">
        <v>46099.0</v>
      </c>
      <c r="B21" s="124" t="s">
        <v>371</v>
      </c>
      <c r="C21" s="172"/>
      <c r="F21" s="124" t="s">
        <v>361</v>
      </c>
    </row>
    <row r="22">
      <c r="A22" s="170">
        <v>46100.0</v>
      </c>
      <c r="B22" s="22" t="s">
        <v>372</v>
      </c>
      <c r="F22" s="22" t="s">
        <v>368</v>
      </c>
    </row>
    <row r="23">
      <c r="A23" s="170">
        <v>46101.0</v>
      </c>
      <c r="B23" s="22" t="s">
        <v>373</v>
      </c>
      <c r="F23" s="22" t="s">
        <v>374</v>
      </c>
    </row>
    <row r="24">
      <c r="A24" s="171">
        <v>46103.0</v>
      </c>
      <c r="C24" s="172"/>
      <c r="F24" s="22" t="s">
        <v>368</v>
      </c>
    </row>
    <row r="25">
      <c r="A25" s="170">
        <v>45008.0</v>
      </c>
      <c r="B25" s="22" t="s">
        <v>375</v>
      </c>
    </row>
    <row r="26">
      <c r="A26" s="170">
        <v>42818.0</v>
      </c>
      <c r="B26" s="22" t="s">
        <v>361</v>
      </c>
    </row>
    <row r="27">
      <c r="A27" s="170">
        <v>41723.0</v>
      </c>
      <c r="B27" s="22" t="s">
        <v>363</v>
      </c>
    </row>
    <row r="28">
      <c r="A28" s="170">
        <v>40628.0</v>
      </c>
    </row>
    <row r="29">
      <c r="A29" s="170">
        <v>39533.0</v>
      </c>
      <c r="B29" s="22" t="s">
        <v>376</v>
      </c>
    </row>
    <row r="30">
      <c r="A30" s="170">
        <v>38438.0</v>
      </c>
    </row>
    <row r="31">
      <c r="A31" s="170">
        <v>37343.0</v>
      </c>
      <c r="B31" s="22" t="s">
        <v>377</v>
      </c>
    </row>
    <row r="32">
      <c r="A32" s="170">
        <v>35153.0</v>
      </c>
      <c r="B32" s="22" t="s">
        <v>378</v>
      </c>
    </row>
    <row r="33">
      <c r="A33" s="170">
        <v>34058.0</v>
      </c>
      <c r="B33" s="22" t="s">
        <v>379</v>
      </c>
    </row>
    <row r="34">
      <c r="A34" s="170">
        <v>32963.0</v>
      </c>
      <c r="B34" s="22" t="s">
        <v>380</v>
      </c>
    </row>
    <row r="35">
      <c r="A35" s="170">
        <v>30773.0</v>
      </c>
    </row>
    <row r="36">
      <c r="A36" s="170">
        <v>29678.0</v>
      </c>
    </row>
    <row r="37">
      <c r="A37" s="170">
        <v>28583.0</v>
      </c>
      <c r="B37" s="22" t="s">
        <v>381</v>
      </c>
    </row>
    <row r="38">
      <c r="A38" s="170">
        <v>26393.0</v>
      </c>
    </row>
    <row r="39">
      <c r="A39" s="170">
        <v>25298.0</v>
      </c>
      <c r="B39" s="22" t="s">
        <v>382</v>
      </c>
    </row>
    <row r="40">
      <c r="A40" s="170">
        <v>24203.0</v>
      </c>
    </row>
    <row r="41">
      <c r="A41" s="170">
        <v>23108.0</v>
      </c>
    </row>
    <row r="42">
      <c r="A42" s="170">
        <v>22013.0</v>
      </c>
    </row>
    <row r="43">
      <c r="A43" s="170">
        <v>20918.0</v>
      </c>
    </row>
    <row r="44">
      <c r="A44" s="170">
        <v>19823.0</v>
      </c>
    </row>
    <row r="45">
      <c r="A45" s="170">
        <v>18728.0</v>
      </c>
    </row>
    <row r="46">
      <c r="A46" s="173"/>
    </row>
    <row r="47">
      <c r="A47" s="173"/>
    </row>
    <row r="48">
      <c r="A48" s="173"/>
    </row>
    <row r="49">
      <c r="A49" s="173"/>
    </row>
    <row r="50">
      <c r="A50" s="173"/>
    </row>
    <row r="51">
      <c r="A51" s="173"/>
    </row>
    <row r="52">
      <c r="A52" s="173"/>
    </row>
    <row r="53">
      <c r="A53" s="173"/>
    </row>
    <row r="54">
      <c r="A54" s="173"/>
    </row>
    <row r="55">
      <c r="A55" s="173"/>
    </row>
    <row r="56">
      <c r="A56" s="173"/>
    </row>
    <row r="57">
      <c r="A57" s="173"/>
    </row>
    <row r="58">
      <c r="A58" s="173"/>
    </row>
    <row r="59">
      <c r="A59" s="173"/>
    </row>
    <row r="60">
      <c r="A60" s="173"/>
    </row>
    <row r="61">
      <c r="A61" s="173"/>
    </row>
    <row r="62">
      <c r="A62" s="173"/>
    </row>
    <row r="63">
      <c r="A63" s="173"/>
    </row>
    <row r="64">
      <c r="A64" s="173"/>
    </row>
    <row r="65">
      <c r="A65" s="173"/>
    </row>
    <row r="66">
      <c r="A66" s="173"/>
    </row>
    <row r="67">
      <c r="A67" s="173"/>
    </row>
    <row r="68">
      <c r="A68" s="173"/>
    </row>
    <row r="69">
      <c r="A69" s="173"/>
    </row>
    <row r="70">
      <c r="A70" s="173"/>
    </row>
    <row r="71">
      <c r="A71" s="173"/>
    </row>
    <row r="72">
      <c r="A72" s="173"/>
    </row>
    <row r="73">
      <c r="A73" s="173"/>
    </row>
    <row r="74">
      <c r="A74" s="173"/>
    </row>
    <row r="75">
      <c r="A75" s="173"/>
    </row>
    <row r="76">
      <c r="A76" s="173"/>
    </row>
    <row r="77">
      <c r="A77" s="173"/>
    </row>
    <row r="78">
      <c r="A78" s="173"/>
    </row>
    <row r="79">
      <c r="A79" s="173"/>
    </row>
    <row r="80">
      <c r="A80" s="173"/>
    </row>
    <row r="81">
      <c r="A81" s="173"/>
    </row>
    <row r="82">
      <c r="A82" s="173"/>
    </row>
    <row r="83">
      <c r="A83" s="173"/>
    </row>
    <row r="84">
      <c r="A84" s="173"/>
    </row>
    <row r="85">
      <c r="A85" s="173"/>
    </row>
    <row r="86">
      <c r="A86" s="173"/>
    </row>
    <row r="87">
      <c r="A87" s="173"/>
    </row>
    <row r="88">
      <c r="A88" s="173"/>
    </row>
    <row r="89">
      <c r="A89" s="173"/>
    </row>
    <row r="90">
      <c r="A90" s="173"/>
    </row>
    <row r="91">
      <c r="A91" s="173"/>
    </row>
    <row r="92">
      <c r="A92" s="173"/>
    </row>
    <row r="93">
      <c r="A93" s="173"/>
    </row>
    <row r="94">
      <c r="A94" s="173"/>
    </row>
    <row r="95">
      <c r="A95" s="173"/>
    </row>
    <row r="96">
      <c r="A96" s="173"/>
    </row>
    <row r="97">
      <c r="A97" s="173"/>
    </row>
    <row r="98">
      <c r="A98" s="173"/>
    </row>
    <row r="99">
      <c r="A99" s="173"/>
    </row>
    <row r="100">
      <c r="A100" s="173"/>
    </row>
    <row r="101">
      <c r="A101" s="173"/>
    </row>
    <row r="102">
      <c r="A102" s="173"/>
    </row>
    <row r="103">
      <c r="A103" s="173"/>
    </row>
    <row r="104">
      <c r="A104" s="173"/>
    </row>
    <row r="105">
      <c r="A105" s="173"/>
    </row>
    <row r="106">
      <c r="A106" s="173"/>
    </row>
    <row r="107">
      <c r="A107" s="173"/>
    </row>
    <row r="108">
      <c r="A108" s="173"/>
    </row>
    <row r="109">
      <c r="A109" s="173"/>
    </row>
    <row r="110">
      <c r="A110" s="173"/>
    </row>
    <row r="111">
      <c r="A111" s="173"/>
    </row>
    <row r="112">
      <c r="A112" s="173"/>
    </row>
    <row r="113">
      <c r="A113" s="173"/>
    </row>
    <row r="114">
      <c r="A114" s="173"/>
    </row>
    <row r="115">
      <c r="A115" s="173"/>
    </row>
    <row r="116">
      <c r="A116" s="173"/>
    </row>
    <row r="117">
      <c r="A117" s="173"/>
    </row>
    <row r="118">
      <c r="A118" s="173"/>
    </row>
    <row r="119">
      <c r="A119" s="173"/>
    </row>
    <row r="120">
      <c r="A120" s="173"/>
    </row>
    <row r="121">
      <c r="A121" s="173"/>
    </row>
    <row r="122">
      <c r="A122" s="173"/>
    </row>
    <row r="123">
      <c r="A123" s="173"/>
    </row>
    <row r="124">
      <c r="A124" s="173"/>
    </row>
    <row r="125">
      <c r="A125" s="173"/>
    </row>
    <row r="126">
      <c r="A126" s="173"/>
    </row>
    <row r="127">
      <c r="A127" s="173"/>
    </row>
    <row r="128">
      <c r="A128" s="173"/>
    </row>
    <row r="129">
      <c r="A129" s="173"/>
    </row>
    <row r="130">
      <c r="A130" s="173"/>
    </row>
    <row r="131">
      <c r="A131" s="173"/>
    </row>
    <row r="132">
      <c r="A132" s="173"/>
    </row>
    <row r="133">
      <c r="A133" s="173"/>
    </row>
    <row r="134">
      <c r="A134" s="173"/>
    </row>
    <row r="135">
      <c r="A135" s="173"/>
    </row>
    <row r="136">
      <c r="A136" s="173"/>
    </row>
    <row r="137">
      <c r="A137" s="173"/>
    </row>
    <row r="138">
      <c r="A138" s="173"/>
    </row>
    <row r="139">
      <c r="A139" s="173"/>
    </row>
    <row r="140">
      <c r="A140" s="173"/>
    </row>
    <row r="141">
      <c r="A141" s="173"/>
    </row>
    <row r="142">
      <c r="A142" s="173"/>
    </row>
    <row r="143">
      <c r="A143" s="173"/>
    </row>
    <row r="144">
      <c r="A144" s="173"/>
    </row>
    <row r="145">
      <c r="A145" s="173"/>
    </row>
    <row r="146">
      <c r="A146" s="173"/>
    </row>
    <row r="147">
      <c r="A147" s="173"/>
    </row>
    <row r="148">
      <c r="A148" s="173"/>
    </row>
    <row r="149">
      <c r="A149" s="173"/>
    </row>
    <row r="150">
      <c r="A150" s="173"/>
    </row>
    <row r="151">
      <c r="A151" s="173"/>
    </row>
    <row r="152">
      <c r="A152" s="173"/>
    </row>
    <row r="153">
      <c r="A153" s="173"/>
    </row>
    <row r="154">
      <c r="A154" s="173"/>
    </row>
    <row r="155">
      <c r="A155" s="173"/>
    </row>
    <row r="156">
      <c r="A156" s="173"/>
    </row>
    <row r="157">
      <c r="A157" s="173"/>
    </row>
    <row r="158">
      <c r="A158" s="173"/>
    </row>
    <row r="159">
      <c r="A159" s="173"/>
    </row>
    <row r="160">
      <c r="A160" s="173"/>
    </row>
    <row r="161">
      <c r="A161" s="173"/>
    </row>
    <row r="162">
      <c r="A162" s="173"/>
    </row>
    <row r="163">
      <c r="A163" s="173"/>
    </row>
    <row r="164">
      <c r="A164" s="173"/>
    </row>
    <row r="165">
      <c r="A165" s="173"/>
    </row>
    <row r="166">
      <c r="A166" s="173"/>
    </row>
    <row r="167">
      <c r="A167" s="173"/>
    </row>
    <row r="168">
      <c r="A168" s="173"/>
    </row>
    <row r="169">
      <c r="A169" s="173"/>
    </row>
    <row r="170">
      <c r="A170" s="173"/>
    </row>
    <row r="171">
      <c r="A171" s="173"/>
    </row>
    <row r="172">
      <c r="A172" s="173"/>
    </row>
    <row r="173">
      <c r="A173" s="173"/>
    </row>
    <row r="174">
      <c r="A174" s="173"/>
    </row>
    <row r="175">
      <c r="A175" s="173"/>
    </row>
    <row r="176">
      <c r="A176" s="173"/>
    </row>
    <row r="177">
      <c r="A177" s="173"/>
    </row>
    <row r="178">
      <c r="A178" s="173"/>
    </row>
    <row r="179">
      <c r="A179" s="173"/>
    </row>
    <row r="180">
      <c r="A180" s="173"/>
    </row>
    <row r="181">
      <c r="A181" s="173"/>
    </row>
    <row r="182">
      <c r="A182" s="173"/>
    </row>
    <row r="183">
      <c r="A183" s="173"/>
    </row>
    <row r="184">
      <c r="A184" s="173"/>
    </row>
    <row r="185">
      <c r="A185" s="173"/>
    </row>
    <row r="186">
      <c r="A186" s="173"/>
    </row>
    <row r="187">
      <c r="A187" s="173"/>
    </row>
    <row r="188">
      <c r="A188" s="173"/>
    </row>
    <row r="189">
      <c r="A189" s="173"/>
    </row>
    <row r="190">
      <c r="A190" s="173"/>
    </row>
    <row r="191">
      <c r="A191" s="173"/>
    </row>
    <row r="192">
      <c r="A192" s="173"/>
    </row>
    <row r="193">
      <c r="A193" s="173"/>
    </row>
    <row r="194">
      <c r="A194" s="173"/>
    </row>
    <row r="195">
      <c r="A195" s="173"/>
    </row>
    <row r="196">
      <c r="A196" s="173"/>
    </row>
    <row r="197">
      <c r="A197" s="173"/>
    </row>
    <row r="198">
      <c r="A198" s="173"/>
    </row>
    <row r="199">
      <c r="A199" s="173"/>
    </row>
    <row r="200">
      <c r="A200" s="173"/>
    </row>
    <row r="201">
      <c r="A201" s="173"/>
    </row>
    <row r="202">
      <c r="A202" s="173"/>
    </row>
    <row r="203">
      <c r="A203" s="173"/>
    </row>
    <row r="204">
      <c r="A204" s="173"/>
    </row>
    <row r="205">
      <c r="A205" s="173"/>
    </row>
    <row r="206">
      <c r="A206" s="173"/>
    </row>
    <row r="207">
      <c r="A207" s="173"/>
    </row>
    <row r="208">
      <c r="A208" s="173"/>
    </row>
    <row r="209">
      <c r="A209" s="173"/>
    </row>
    <row r="210">
      <c r="A210" s="173"/>
    </row>
    <row r="211">
      <c r="A211" s="173"/>
    </row>
    <row r="212">
      <c r="A212" s="173"/>
    </row>
    <row r="213">
      <c r="A213" s="173"/>
    </row>
    <row r="214">
      <c r="A214" s="173"/>
    </row>
    <row r="215">
      <c r="A215" s="173"/>
    </row>
    <row r="216">
      <c r="A216" s="173"/>
    </row>
    <row r="217">
      <c r="A217" s="173"/>
    </row>
    <row r="218">
      <c r="A218" s="173"/>
    </row>
    <row r="219">
      <c r="A219" s="173"/>
    </row>
    <row r="220">
      <c r="A220" s="173"/>
    </row>
    <row r="221">
      <c r="A221" s="173"/>
    </row>
    <row r="222">
      <c r="A222" s="173"/>
    </row>
    <row r="223">
      <c r="A223" s="173"/>
    </row>
    <row r="224">
      <c r="A224" s="173"/>
    </row>
    <row r="225">
      <c r="A225" s="173"/>
    </row>
    <row r="226">
      <c r="A226" s="173"/>
    </row>
    <row r="227">
      <c r="A227" s="173"/>
    </row>
    <row r="228">
      <c r="A228" s="173"/>
    </row>
    <row r="229">
      <c r="A229" s="173"/>
    </row>
    <row r="230">
      <c r="A230" s="173"/>
    </row>
    <row r="231">
      <c r="A231" s="173"/>
    </row>
    <row r="232">
      <c r="A232" s="173"/>
    </row>
    <row r="233">
      <c r="A233" s="173"/>
    </row>
    <row r="234">
      <c r="A234" s="173"/>
    </row>
    <row r="235">
      <c r="A235" s="173"/>
    </row>
    <row r="236">
      <c r="A236" s="173"/>
    </row>
    <row r="237">
      <c r="A237" s="173"/>
    </row>
    <row r="238">
      <c r="A238" s="173"/>
    </row>
    <row r="239">
      <c r="A239" s="173"/>
    </row>
    <row r="240">
      <c r="A240" s="173"/>
    </row>
    <row r="241">
      <c r="A241" s="173"/>
    </row>
    <row r="242">
      <c r="A242" s="173"/>
    </row>
    <row r="243">
      <c r="A243" s="173"/>
    </row>
    <row r="244">
      <c r="A244" s="173"/>
    </row>
    <row r="245">
      <c r="A245" s="173"/>
    </row>
    <row r="246">
      <c r="A246" s="173"/>
    </row>
    <row r="247">
      <c r="A247" s="173"/>
    </row>
    <row r="248">
      <c r="A248" s="173"/>
    </row>
    <row r="249">
      <c r="A249" s="173"/>
    </row>
    <row r="250">
      <c r="A250" s="173"/>
    </row>
    <row r="251">
      <c r="A251" s="173"/>
    </row>
    <row r="252">
      <c r="A252" s="173"/>
    </row>
    <row r="253">
      <c r="A253" s="173"/>
    </row>
    <row r="254">
      <c r="A254" s="173"/>
    </row>
    <row r="255">
      <c r="A255" s="173"/>
    </row>
    <row r="256">
      <c r="A256" s="173"/>
    </row>
    <row r="257">
      <c r="A257" s="173"/>
    </row>
    <row r="258">
      <c r="A258" s="173"/>
    </row>
    <row r="259">
      <c r="A259" s="173"/>
    </row>
    <row r="260">
      <c r="A260" s="173"/>
    </row>
    <row r="261">
      <c r="A261" s="173"/>
    </row>
    <row r="262">
      <c r="A262" s="173"/>
    </row>
    <row r="263">
      <c r="A263" s="173"/>
    </row>
    <row r="264">
      <c r="A264" s="173"/>
    </row>
    <row r="265">
      <c r="A265" s="173"/>
    </row>
    <row r="266">
      <c r="A266" s="173"/>
    </row>
    <row r="267">
      <c r="A267" s="173"/>
    </row>
    <row r="268">
      <c r="A268" s="173"/>
    </row>
    <row r="269">
      <c r="A269" s="173"/>
    </row>
    <row r="270">
      <c r="A270" s="173"/>
    </row>
    <row r="271">
      <c r="A271" s="173"/>
    </row>
    <row r="272">
      <c r="A272" s="173"/>
    </row>
    <row r="273">
      <c r="A273" s="173"/>
    </row>
    <row r="274">
      <c r="A274" s="173"/>
    </row>
    <row r="275">
      <c r="A275" s="173"/>
    </row>
    <row r="276">
      <c r="A276" s="173"/>
    </row>
    <row r="277">
      <c r="A277" s="173"/>
    </row>
    <row r="278">
      <c r="A278" s="173"/>
    </row>
    <row r="279">
      <c r="A279" s="173"/>
    </row>
    <row r="280">
      <c r="A280" s="173"/>
    </row>
    <row r="281">
      <c r="A281" s="173"/>
    </row>
    <row r="282">
      <c r="A282" s="173"/>
    </row>
    <row r="283">
      <c r="A283" s="173"/>
    </row>
    <row r="284">
      <c r="A284" s="173"/>
    </row>
    <row r="285">
      <c r="A285" s="173"/>
    </row>
    <row r="286">
      <c r="A286" s="173"/>
    </row>
    <row r="287">
      <c r="A287" s="173"/>
    </row>
    <row r="288">
      <c r="A288" s="173"/>
    </row>
    <row r="289">
      <c r="A289" s="173"/>
    </row>
    <row r="290">
      <c r="A290" s="173"/>
    </row>
    <row r="291">
      <c r="A291" s="173"/>
    </row>
    <row r="292">
      <c r="A292" s="173"/>
    </row>
    <row r="293">
      <c r="A293" s="173"/>
    </row>
    <row r="294">
      <c r="A294" s="173"/>
    </row>
    <row r="295">
      <c r="A295" s="173"/>
    </row>
    <row r="296">
      <c r="A296" s="173"/>
    </row>
    <row r="297">
      <c r="A297" s="173"/>
    </row>
    <row r="298">
      <c r="A298" s="173"/>
    </row>
    <row r="299">
      <c r="A299" s="173"/>
    </row>
    <row r="300">
      <c r="A300" s="173"/>
    </row>
    <row r="301">
      <c r="A301" s="173"/>
    </row>
    <row r="302">
      <c r="A302" s="173"/>
    </row>
    <row r="303">
      <c r="A303" s="173"/>
    </row>
    <row r="304">
      <c r="A304" s="173"/>
    </row>
    <row r="305">
      <c r="A305" s="173"/>
    </row>
    <row r="306">
      <c r="A306" s="173"/>
    </row>
    <row r="307">
      <c r="A307" s="173"/>
    </row>
    <row r="308">
      <c r="A308" s="173"/>
    </row>
    <row r="309">
      <c r="A309" s="173"/>
    </row>
    <row r="310">
      <c r="A310" s="173"/>
    </row>
    <row r="311">
      <c r="A311" s="173"/>
    </row>
    <row r="312">
      <c r="A312" s="173"/>
    </row>
    <row r="313">
      <c r="A313" s="173"/>
    </row>
    <row r="314">
      <c r="A314" s="173"/>
    </row>
    <row r="315">
      <c r="A315" s="173"/>
    </row>
    <row r="316">
      <c r="A316" s="173"/>
    </row>
    <row r="317">
      <c r="A317" s="173"/>
    </row>
    <row r="318">
      <c r="A318" s="173"/>
    </row>
    <row r="319">
      <c r="A319" s="173"/>
    </row>
    <row r="320">
      <c r="A320" s="173"/>
    </row>
    <row r="321">
      <c r="A321" s="173"/>
    </row>
    <row r="322">
      <c r="A322" s="173"/>
    </row>
    <row r="323">
      <c r="A323" s="173"/>
    </row>
    <row r="324">
      <c r="A324" s="173"/>
    </row>
    <row r="325">
      <c r="A325" s="173"/>
    </row>
    <row r="326">
      <c r="A326" s="173"/>
    </row>
    <row r="327">
      <c r="A327" s="173"/>
    </row>
    <row r="328">
      <c r="A328" s="173"/>
    </row>
    <row r="329">
      <c r="A329" s="173"/>
    </row>
    <row r="330">
      <c r="A330" s="173"/>
    </row>
    <row r="331">
      <c r="A331" s="173"/>
    </row>
    <row r="332">
      <c r="A332" s="173"/>
    </row>
    <row r="333">
      <c r="A333" s="173"/>
    </row>
    <row r="334">
      <c r="A334" s="173"/>
    </row>
    <row r="335">
      <c r="A335" s="173"/>
    </row>
    <row r="336">
      <c r="A336" s="173"/>
    </row>
    <row r="337">
      <c r="A337" s="173"/>
    </row>
    <row r="338">
      <c r="A338" s="173"/>
    </row>
    <row r="339">
      <c r="A339" s="173"/>
    </row>
    <row r="340">
      <c r="A340" s="173"/>
    </row>
    <row r="341">
      <c r="A341" s="173"/>
    </row>
    <row r="342">
      <c r="A342" s="173"/>
    </row>
    <row r="343">
      <c r="A343" s="173"/>
    </row>
    <row r="344">
      <c r="A344" s="173"/>
    </row>
    <row r="345">
      <c r="A345" s="173"/>
    </row>
    <row r="346">
      <c r="A346" s="173"/>
    </row>
    <row r="347">
      <c r="A347" s="173"/>
    </row>
    <row r="348">
      <c r="A348" s="173"/>
    </row>
    <row r="349">
      <c r="A349" s="173"/>
    </row>
    <row r="350">
      <c r="A350" s="173"/>
    </row>
    <row r="351">
      <c r="A351" s="173"/>
    </row>
    <row r="352">
      <c r="A352" s="173"/>
    </row>
    <row r="353">
      <c r="A353" s="173"/>
    </row>
    <row r="354">
      <c r="A354" s="173"/>
    </row>
    <row r="355">
      <c r="A355" s="173"/>
    </row>
    <row r="356">
      <c r="A356" s="173"/>
    </row>
    <row r="357">
      <c r="A357" s="173"/>
    </row>
    <row r="358">
      <c r="A358" s="173"/>
    </row>
    <row r="359">
      <c r="A359" s="173"/>
    </row>
    <row r="360">
      <c r="A360" s="173"/>
    </row>
    <row r="361">
      <c r="A361" s="173"/>
    </row>
    <row r="362">
      <c r="A362" s="173"/>
    </row>
    <row r="363">
      <c r="A363" s="173"/>
    </row>
    <row r="364">
      <c r="A364" s="173"/>
    </row>
    <row r="365">
      <c r="A365" s="173"/>
    </row>
    <row r="366">
      <c r="A366" s="173"/>
    </row>
    <row r="367">
      <c r="A367" s="173"/>
    </row>
    <row r="368">
      <c r="A368" s="173"/>
    </row>
    <row r="369">
      <c r="A369" s="173"/>
    </row>
    <row r="370">
      <c r="A370" s="173"/>
    </row>
    <row r="371">
      <c r="A371" s="173"/>
    </row>
    <row r="372">
      <c r="A372" s="173"/>
    </row>
    <row r="373">
      <c r="A373" s="173"/>
    </row>
    <row r="374">
      <c r="A374" s="173"/>
    </row>
    <row r="375">
      <c r="A375" s="173"/>
    </row>
    <row r="376">
      <c r="A376" s="173"/>
    </row>
    <row r="377">
      <c r="A377" s="173"/>
    </row>
    <row r="378">
      <c r="A378" s="173"/>
    </row>
    <row r="379">
      <c r="A379" s="173"/>
    </row>
    <row r="380">
      <c r="A380" s="173"/>
    </row>
    <row r="381">
      <c r="A381" s="173"/>
    </row>
    <row r="382">
      <c r="A382" s="173"/>
    </row>
    <row r="383">
      <c r="A383" s="173"/>
    </row>
    <row r="384">
      <c r="A384" s="173"/>
    </row>
    <row r="385">
      <c r="A385" s="173"/>
    </row>
    <row r="386">
      <c r="A386" s="173"/>
    </row>
    <row r="387">
      <c r="A387" s="173"/>
    </row>
    <row r="388">
      <c r="A388" s="173"/>
    </row>
    <row r="389">
      <c r="A389" s="173"/>
    </row>
    <row r="390">
      <c r="A390" s="173"/>
    </row>
    <row r="391">
      <c r="A391" s="173"/>
    </row>
    <row r="392">
      <c r="A392" s="173"/>
    </row>
    <row r="393">
      <c r="A393" s="173"/>
    </row>
    <row r="394">
      <c r="A394" s="173"/>
    </row>
    <row r="395">
      <c r="A395" s="173"/>
    </row>
    <row r="396">
      <c r="A396" s="173"/>
    </row>
    <row r="397">
      <c r="A397" s="173"/>
    </row>
    <row r="398">
      <c r="A398" s="173"/>
    </row>
    <row r="399">
      <c r="A399" s="173"/>
    </row>
    <row r="400">
      <c r="A400" s="173"/>
    </row>
    <row r="401">
      <c r="A401" s="173"/>
    </row>
    <row r="402">
      <c r="A402" s="173"/>
    </row>
    <row r="403">
      <c r="A403" s="173"/>
    </row>
    <row r="404">
      <c r="A404" s="173"/>
    </row>
    <row r="405">
      <c r="A405" s="173"/>
    </row>
    <row r="406">
      <c r="A406" s="173"/>
    </row>
    <row r="407">
      <c r="A407" s="173"/>
    </row>
    <row r="408">
      <c r="A408" s="173"/>
    </row>
    <row r="409">
      <c r="A409" s="173"/>
    </row>
    <row r="410">
      <c r="A410" s="173"/>
    </row>
    <row r="411">
      <c r="A411" s="173"/>
    </row>
    <row r="412">
      <c r="A412" s="173"/>
    </row>
    <row r="413">
      <c r="A413" s="173"/>
    </row>
    <row r="414">
      <c r="A414" s="173"/>
    </row>
    <row r="415">
      <c r="A415" s="173"/>
    </row>
    <row r="416">
      <c r="A416" s="173"/>
    </row>
    <row r="417">
      <c r="A417" s="173"/>
    </row>
    <row r="418">
      <c r="A418" s="173"/>
    </row>
    <row r="419">
      <c r="A419" s="173"/>
    </row>
    <row r="420">
      <c r="A420" s="173"/>
    </row>
    <row r="421">
      <c r="A421" s="173"/>
    </row>
    <row r="422">
      <c r="A422" s="173"/>
    </row>
    <row r="423">
      <c r="A423" s="173"/>
    </row>
    <row r="424">
      <c r="A424" s="173"/>
    </row>
    <row r="425">
      <c r="A425" s="173"/>
    </row>
    <row r="426">
      <c r="A426" s="173"/>
    </row>
    <row r="427">
      <c r="A427" s="173"/>
    </row>
    <row r="428">
      <c r="A428" s="173"/>
    </row>
    <row r="429">
      <c r="A429" s="173"/>
    </row>
    <row r="430">
      <c r="A430" s="173"/>
    </row>
    <row r="431">
      <c r="A431" s="173"/>
    </row>
    <row r="432">
      <c r="A432" s="173"/>
    </row>
    <row r="433">
      <c r="A433" s="173"/>
    </row>
    <row r="434">
      <c r="A434" s="173"/>
    </row>
    <row r="435">
      <c r="A435" s="173"/>
    </row>
    <row r="436">
      <c r="A436" s="173"/>
    </row>
    <row r="437">
      <c r="A437" s="173"/>
    </row>
    <row r="438">
      <c r="A438" s="173"/>
    </row>
    <row r="439">
      <c r="A439" s="173"/>
    </row>
    <row r="440">
      <c r="A440" s="173"/>
    </row>
    <row r="441">
      <c r="A441" s="173"/>
    </row>
    <row r="442">
      <c r="A442" s="173"/>
    </row>
    <row r="443">
      <c r="A443" s="173"/>
    </row>
    <row r="444">
      <c r="A444" s="173"/>
    </row>
    <row r="445">
      <c r="A445" s="173"/>
    </row>
    <row r="446">
      <c r="A446" s="173"/>
    </row>
    <row r="447">
      <c r="A447" s="173"/>
    </row>
    <row r="448">
      <c r="A448" s="173"/>
    </row>
    <row r="449">
      <c r="A449" s="173"/>
    </row>
    <row r="450">
      <c r="A450" s="173"/>
    </row>
    <row r="451">
      <c r="A451" s="173"/>
    </row>
    <row r="452">
      <c r="A452" s="173"/>
    </row>
    <row r="453">
      <c r="A453" s="173"/>
    </row>
    <row r="454">
      <c r="A454" s="173"/>
    </row>
    <row r="455">
      <c r="A455" s="173"/>
    </row>
    <row r="456">
      <c r="A456" s="173"/>
    </row>
    <row r="457">
      <c r="A457" s="173"/>
    </row>
    <row r="458">
      <c r="A458" s="173"/>
    </row>
    <row r="459">
      <c r="A459" s="173"/>
    </row>
    <row r="460">
      <c r="A460" s="173"/>
    </row>
    <row r="461">
      <c r="A461" s="173"/>
    </row>
    <row r="462">
      <c r="A462" s="173"/>
    </row>
    <row r="463">
      <c r="A463" s="173"/>
    </row>
    <row r="464">
      <c r="A464" s="173"/>
    </row>
    <row r="465">
      <c r="A465" s="173"/>
    </row>
    <row r="466">
      <c r="A466" s="173"/>
    </row>
    <row r="467">
      <c r="A467" s="173"/>
    </row>
    <row r="468">
      <c r="A468" s="173"/>
    </row>
    <row r="469">
      <c r="A469" s="173"/>
    </row>
    <row r="470">
      <c r="A470" s="173"/>
    </row>
    <row r="471">
      <c r="A471" s="173"/>
    </row>
    <row r="472">
      <c r="A472" s="173"/>
    </row>
    <row r="473">
      <c r="A473" s="173"/>
    </row>
    <row r="474">
      <c r="A474" s="173"/>
    </row>
    <row r="475">
      <c r="A475" s="173"/>
    </row>
    <row r="476">
      <c r="A476" s="173"/>
    </row>
    <row r="477">
      <c r="A477" s="173"/>
    </row>
    <row r="478">
      <c r="A478" s="173"/>
    </row>
    <row r="479">
      <c r="A479" s="173"/>
    </row>
    <row r="480">
      <c r="A480" s="173"/>
    </row>
    <row r="481">
      <c r="A481" s="173"/>
    </row>
    <row r="482">
      <c r="A482" s="173"/>
    </row>
    <row r="483">
      <c r="A483" s="173"/>
    </row>
    <row r="484">
      <c r="A484" s="173"/>
    </row>
    <row r="485">
      <c r="A485" s="173"/>
    </row>
    <row r="486">
      <c r="A486" s="173"/>
    </row>
    <row r="487">
      <c r="A487" s="173"/>
    </row>
    <row r="488">
      <c r="A488" s="173"/>
    </row>
    <row r="489">
      <c r="A489" s="173"/>
    </row>
    <row r="490">
      <c r="A490" s="173"/>
    </row>
    <row r="491">
      <c r="A491" s="173"/>
    </row>
    <row r="492">
      <c r="A492" s="173"/>
    </row>
    <row r="493">
      <c r="A493" s="173"/>
    </row>
    <row r="494">
      <c r="A494" s="173"/>
    </row>
    <row r="495">
      <c r="A495" s="173"/>
    </row>
    <row r="496">
      <c r="A496" s="173"/>
    </row>
    <row r="497">
      <c r="A497" s="173"/>
    </row>
    <row r="498">
      <c r="A498" s="173"/>
    </row>
    <row r="499">
      <c r="A499" s="173"/>
    </row>
    <row r="500">
      <c r="A500" s="173"/>
    </row>
    <row r="501">
      <c r="A501" s="173"/>
    </row>
    <row r="502">
      <c r="A502" s="173"/>
    </row>
    <row r="503">
      <c r="A503" s="173"/>
    </row>
    <row r="504">
      <c r="A504" s="173"/>
    </row>
    <row r="505">
      <c r="A505" s="173"/>
    </row>
    <row r="506">
      <c r="A506" s="173"/>
    </row>
    <row r="507">
      <c r="A507" s="173"/>
    </row>
    <row r="508">
      <c r="A508" s="173"/>
    </row>
    <row r="509">
      <c r="A509" s="173"/>
    </row>
    <row r="510">
      <c r="A510" s="173"/>
    </row>
    <row r="511">
      <c r="A511" s="173"/>
    </row>
    <row r="512">
      <c r="A512" s="173"/>
    </row>
    <row r="513">
      <c r="A513" s="173"/>
    </row>
    <row r="514">
      <c r="A514" s="173"/>
    </row>
    <row r="515">
      <c r="A515" s="173"/>
    </row>
    <row r="516">
      <c r="A516" s="173"/>
    </row>
    <row r="517">
      <c r="A517" s="173"/>
    </row>
    <row r="518">
      <c r="A518" s="173"/>
    </row>
    <row r="519">
      <c r="A519" s="173"/>
    </row>
    <row r="520">
      <c r="A520" s="173"/>
    </row>
    <row r="521">
      <c r="A521" s="173"/>
    </row>
    <row r="522">
      <c r="A522" s="173"/>
    </row>
    <row r="523">
      <c r="A523" s="173"/>
    </row>
    <row r="524">
      <c r="A524" s="173"/>
    </row>
    <row r="525">
      <c r="A525" s="173"/>
    </row>
    <row r="526">
      <c r="A526" s="173"/>
    </row>
    <row r="527">
      <c r="A527" s="173"/>
    </row>
    <row r="528">
      <c r="A528" s="173"/>
    </row>
    <row r="529">
      <c r="A529" s="173"/>
    </row>
    <row r="530">
      <c r="A530" s="173"/>
    </row>
    <row r="531">
      <c r="A531" s="173"/>
    </row>
    <row r="532">
      <c r="A532" s="173"/>
    </row>
    <row r="533">
      <c r="A533" s="173"/>
    </row>
    <row r="534">
      <c r="A534" s="173"/>
    </row>
    <row r="535">
      <c r="A535" s="173"/>
    </row>
    <row r="536">
      <c r="A536" s="173"/>
    </row>
    <row r="537">
      <c r="A537" s="173"/>
    </row>
    <row r="538">
      <c r="A538" s="173"/>
    </row>
    <row r="539">
      <c r="A539" s="173"/>
    </row>
    <row r="540">
      <c r="A540" s="173"/>
    </row>
    <row r="541">
      <c r="A541" s="173"/>
    </row>
    <row r="542">
      <c r="A542" s="173"/>
    </row>
    <row r="543">
      <c r="A543" s="173"/>
    </row>
    <row r="544">
      <c r="A544" s="173"/>
    </row>
    <row r="545">
      <c r="A545" s="173"/>
    </row>
    <row r="546">
      <c r="A546" s="173"/>
    </row>
    <row r="547">
      <c r="A547" s="173"/>
    </row>
    <row r="548">
      <c r="A548" s="173"/>
    </row>
    <row r="549">
      <c r="A549" s="173"/>
    </row>
    <row r="550">
      <c r="A550" s="173"/>
    </row>
    <row r="551">
      <c r="A551" s="173"/>
    </row>
    <row r="552">
      <c r="A552" s="173"/>
    </row>
    <row r="553">
      <c r="A553" s="173"/>
    </row>
    <row r="554">
      <c r="A554" s="173"/>
    </row>
    <row r="555">
      <c r="A555" s="173"/>
    </row>
    <row r="556">
      <c r="A556" s="173"/>
    </row>
    <row r="557">
      <c r="A557" s="173"/>
    </row>
    <row r="558">
      <c r="A558" s="173"/>
    </row>
    <row r="559">
      <c r="A559" s="173"/>
    </row>
    <row r="560">
      <c r="A560" s="173"/>
    </row>
    <row r="561">
      <c r="A561" s="173"/>
    </row>
    <row r="562">
      <c r="A562" s="173"/>
    </row>
    <row r="563">
      <c r="A563" s="173"/>
    </row>
    <row r="564">
      <c r="A564" s="173"/>
    </row>
    <row r="565">
      <c r="A565" s="173"/>
    </row>
    <row r="566">
      <c r="A566" s="173"/>
    </row>
    <row r="567">
      <c r="A567" s="173"/>
    </row>
    <row r="568">
      <c r="A568" s="173"/>
    </row>
    <row r="569">
      <c r="A569" s="173"/>
    </row>
    <row r="570">
      <c r="A570" s="173"/>
    </row>
    <row r="571">
      <c r="A571" s="173"/>
    </row>
    <row r="572">
      <c r="A572" s="173"/>
    </row>
    <row r="573">
      <c r="A573" s="173"/>
    </row>
    <row r="574">
      <c r="A574" s="173"/>
    </row>
    <row r="575">
      <c r="A575" s="173"/>
    </row>
    <row r="576">
      <c r="A576" s="173"/>
    </row>
    <row r="577">
      <c r="A577" s="173"/>
    </row>
    <row r="578">
      <c r="A578" s="173"/>
    </row>
    <row r="579">
      <c r="A579" s="173"/>
    </row>
    <row r="580">
      <c r="A580" s="173"/>
    </row>
    <row r="581">
      <c r="A581" s="173"/>
    </row>
    <row r="582">
      <c r="A582" s="173"/>
    </row>
    <row r="583">
      <c r="A583" s="173"/>
    </row>
    <row r="584">
      <c r="A584" s="173"/>
    </row>
    <row r="585">
      <c r="A585" s="173"/>
    </row>
    <row r="586">
      <c r="A586" s="173"/>
    </row>
    <row r="587">
      <c r="A587" s="173"/>
    </row>
    <row r="588">
      <c r="A588" s="173"/>
    </row>
    <row r="589">
      <c r="A589" s="173"/>
    </row>
    <row r="590">
      <c r="A590" s="173"/>
    </row>
    <row r="591">
      <c r="A591" s="173"/>
    </row>
    <row r="592">
      <c r="A592" s="173"/>
    </row>
    <row r="593">
      <c r="A593" s="173"/>
    </row>
    <row r="594">
      <c r="A594" s="173"/>
    </row>
    <row r="595">
      <c r="A595" s="173"/>
    </row>
    <row r="596">
      <c r="A596" s="173"/>
    </row>
    <row r="597">
      <c r="A597" s="173"/>
    </row>
    <row r="598">
      <c r="A598" s="173"/>
    </row>
    <row r="599">
      <c r="A599" s="173"/>
    </row>
    <row r="600">
      <c r="A600" s="173"/>
    </row>
    <row r="601">
      <c r="A601" s="173"/>
    </row>
    <row r="602">
      <c r="A602" s="173"/>
    </row>
    <row r="603">
      <c r="A603" s="173"/>
    </row>
    <row r="604">
      <c r="A604" s="173"/>
    </row>
    <row r="605">
      <c r="A605" s="173"/>
    </row>
    <row r="606">
      <c r="A606" s="173"/>
    </row>
    <row r="607">
      <c r="A607" s="173"/>
    </row>
    <row r="608">
      <c r="A608" s="173"/>
    </row>
    <row r="609">
      <c r="A609" s="173"/>
    </row>
    <row r="610">
      <c r="A610" s="173"/>
    </row>
    <row r="611">
      <c r="A611" s="173"/>
    </row>
    <row r="612">
      <c r="A612" s="173"/>
    </row>
    <row r="613">
      <c r="A613" s="173"/>
    </row>
    <row r="614">
      <c r="A614" s="173"/>
    </row>
    <row r="615">
      <c r="A615" s="173"/>
    </row>
    <row r="616">
      <c r="A616" s="173"/>
    </row>
    <row r="617">
      <c r="A617" s="173"/>
    </row>
    <row r="618">
      <c r="A618" s="173"/>
    </row>
    <row r="619">
      <c r="A619" s="173"/>
    </row>
    <row r="620">
      <c r="A620" s="173"/>
    </row>
    <row r="621">
      <c r="A621" s="173"/>
    </row>
    <row r="622">
      <c r="A622" s="173"/>
    </row>
    <row r="623">
      <c r="A623" s="173"/>
    </row>
    <row r="624">
      <c r="A624" s="173"/>
    </row>
    <row r="625">
      <c r="A625" s="173"/>
    </row>
    <row r="626">
      <c r="A626" s="173"/>
    </row>
    <row r="627">
      <c r="A627" s="173"/>
    </row>
    <row r="628">
      <c r="A628" s="173"/>
    </row>
    <row r="629">
      <c r="A629" s="173"/>
    </row>
    <row r="630">
      <c r="A630" s="173"/>
    </row>
    <row r="631">
      <c r="A631" s="173"/>
    </row>
    <row r="632">
      <c r="A632" s="173"/>
    </row>
    <row r="633">
      <c r="A633" s="173"/>
    </row>
    <row r="634">
      <c r="A634" s="173"/>
    </row>
    <row r="635">
      <c r="A635" s="173"/>
    </row>
    <row r="636">
      <c r="A636" s="173"/>
    </row>
    <row r="637">
      <c r="A637" s="173"/>
    </row>
    <row r="638">
      <c r="A638" s="173"/>
    </row>
    <row r="639">
      <c r="A639" s="173"/>
    </row>
    <row r="640">
      <c r="A640" s="173"/>
    </row>
    <row r="641">
      <c r="A641" s="173"/>
    </row>
    <row r="642">
      <c r="A642" s="173"/>
    </row>
    <row r="643">
      <c r="A643" s="173"/>
    </row>
    <row r="644">
      <c r="A644" s="173"/>
    </row>
    <row r="645">
      <c r="A645" s="173"/>
    </row>
    <row r="646">
      <c r="A646" s="173"/>
    </row>
    <row r="647">
      <c r="A647" s="173"/>
    </row>
    <row r="648">
      <c r="A648" s="173"/>
    </row>
    <row r="649">
      <c r="A649" s="173"/>
    </row>
    <row r="650">
      <c r="A650" s="173"/>
    </row>
    <row r="651">
      <c r="A651" s="173"/>
    </row>
    <row r="652">
      <c r="A652" s="173"/>
    </row>
    <row r="653">
      <c r="A653" s="173"/>
    </row>
    <row r="654">
      <c r="A654" s="173"/>
    </row>
    <row r="655">
      <c r="A655" s="173"/>
    </row>
    <row r="656">
      <c r="A656" s="173"/>
    </row>
    <row r="657">
      <c r="A657" s="173"/>
    </row>
    <row r="658">
      <c r="A658" s="173"/>
    </row>
    <row r="659">
      <c r="A659" s="173"/>
    </row>
    <row r="660">
      <c r="A660" s="173"/>
    </row>
    <row r="661">
      <c r="A661" s="173"/>
    </row>
    <row r="662">
      <c r="A662" s="173"/>
    </row>
    <row r="663">
      <c r="A663" s="173"/>
    </row>
    <row r="664">
      <c r="A664" s="173"/>
    </row>
    <row r="665">
      <c r="A665" s="173"/>
    </row>
    <row r="666">
      <c r="A666" s="173"/>
    </row>
    <row r="667">
      <c r="A667" s="173"/>
    </row>
    <row r="668">
      <c r="A668" s="173"/>
    </row>
    <row r="669">
      <c r="A669" s="173"/>
    </row>
    <row r="670">
      <c r="A670" s="173"/>
    </row>
    <row r="671">
      <c r="A671" s="173"/>
    </row>
    <row r="672">
      <c r="A672" s="173"/>
    </row>
    <row r="673">
      <c r="A673" s="173"/>
    </row>
    <row r="674">
      <c r="A674" s="173"/>
    </row>
    <row r="675">
      <c r="A675" s="173"/>
    </row>
    <row r="676">
      <c r="A676" s="173"/>
    </row>
    <row r="677">
      <c r="A677" s="173"/>
    </row>
    <row r="678">
      <c r="A678" s="173"/>
    </row>
    <row r="679">
      <c r="A679" s="173"/>
    </row>
    <row r="680">
      <c r="A680" s="173"/>
    </row>
    <row r="681">
      <c r="A681" s="173"/>
    </row>
    <row r="682">
      <c r="A682" s="173"/>
    </row>
    <row r="683">
      <c r="A683" s="173"/>
    </row>
    <row r="684">
      <c r="A684" s="173"/>
    </row>
    <row r="685">
      <c r="A685" s="173"/>
    </row>
    <row r="686">
      <c r="A686" s="173"/>
    </row>
    <row r="687">
      <c r="A687" s="173"/>
    </row>
    <row r="688">
      <c r="A688" s="173"/>
    </row>
    <row r="689">
      <c r="A689" s="173"/>
    </row>
    <row r="690">
      <c r="A690" s="173"/>
    </row>
    <row r="691">
      <c r="A691" s="173"/>
    </row>
    <row r="692">
      <c r="A692" s="173"/>
    </row>
    <row r="693">
      <c r="A693" s="173"/>
    </row>
    <row r="694">
      <c r="A694" s="173"/>
    </row>
    <row r="695">
      <c r="A695" s="173"/>
    </row>
    <row r="696">
      <c r="A696" s="173"/>
    </row>
    <row r="697">
      <c r="A697" s="173"/>
    </row>
    <row r="698">
      <c r="A698" s="173"/>
    </row>
    <row r="699">
      <c r="A699" s="173"/>
    </row>
    <row r="700">
      <c r="A700" s="173"/>
    </row>
    <row r="701">
      <c r="A701" s="173"/>
    </row>
    <row r="702">
      <c r="A702" s="173"/>
    </row>
    <row r="703">
      <c r="A703" s="173"/>
    </row>
    <row r="704">
      <c r="A704" s="173"/>
    </row>
    <row r="705">
      <c r="A705" s="173"/>
    </row>
    <row r="706">
      <c r="A706" s="173"/>
    </row>
    <row r="707">
      <c r="A707" s="173"/>
    </row>
    <row r="708">
      <c r="A708" s="173"/>
    </row>
    <row r="709">
      <c r="A709" s="173"/>
    </row>
    <row r="710">
      <c r="A710" s="173"/>
    </row>
    <row r="711">
      <c r="A711" s="173"/>
    </row>
    <row r="712">
      <c r="A712" s="173"/>
    </row>
    <row r="713">
      <c r="A713" s="173"/>
    </row>
    <row r="714">
      <c r="A714" s="173"/>
    </row>
    <row r="715">
      <c r="A715" s="173"/>
    </row>
    <row r="716">
      <c r="A716" s="173"/>
    </row>
    <row r="717">
      <c r="A717" s="173"/>
    </row>
    <row r="718">
      <c r="A718" s="173"/>
    </row>
    <row r="719">
      <c r="A719" s="173"/>
    </row>
    <row r="720">
      <c r="A720" s="173"/>
    </row>
    <row r="721">
      <c r="A721" s="173"/>
    </row>
    <row r="722">
      <c r="A722" s="173"/>
    </row>
    <row r="723">
      <c r="A723" s="173"/>
    </row>
    <row r="724">
      <c r="A724" s="173"/>
    </row>
    <row r="725">
      <c r="A725" s="173"/>
    </row>
    <row r="726">
      <c r="A726" s="173"/>
    </row>
    <row r="727">
      <c r="A727" s="173"/>
    </row>
    <row r="728">
      <c r="A728" s="173"/>
    </row>
    <row r="729">
      <c r="A729" s="173"/>
    </row>
    <row r="730">
      <c r="A730" s="173"/>
    </row>
    <row r="731">
      <c r="A731" s="173"/>
    </row>
    <row r="732">
      <c r="A732" s="173"/>
    </row>
    <row r="733">
      <c r="A733" s="173"/>
    </row>
    <row r="734">
      <c r="A734" s="173"/>
    </row>
    <row r="735">
      <c r="A735" s="173"/>
    </row>
    <row r="736">
      <c r="A736" s="173"/>
    </row>
    <row r="737">
      <c r="A737" s="173"/>
    </row>
    <row r="738">
      <c r="A738" s="173"/>
    </row>
    <row r="739">
      <c r="A739" s="173"/>
    </row>
    <row r="740">
      <c r="A740" s="173"/>
    </row>
    <row r="741">
      <c r="A741" s="173"/>
    </row>
    <row r="742">
      <c r="A742" s="173"/>
    </row>
    <row r="743">
      <c r="A743" s="173"/>
    </row>
    <row r="744">
      <c r="A744" s="173"/>
    </row>
    <row r="745">
      <c r="A745" s="173"/>
    </row>
    <row r="746">
      <c r="A746" s="173"/>
    </row>
    <row r="747">
      <c r="A747" s="173"/>
    </row>
    <row r="748">
      <c r="A748" s="173"/>
    </row>
    <row r="749">
      <c r="A749" s="173"/>
    </row>
    <row r="750">
      <c r="A750" s="173"/>
    </row>
    <row r="751">
      <c r="A751" s="173"/>
    </row>
    <row r="752">
      <c r="A752" s="173"/>
    </row>
    <row r="753">
      <c r="A753" s="173"/>
    </row>
    <row r="754">
      <c r="A754" s="173"/>
    </row>
    <row r="755">
      <c r="A755" s="173"/>
    </row>
    <row r="756">
      <c r="A756" s="173"/>
    </row>
    <row r="757">
      <c r="A757" s="173"/>
    </row>
    <row r="758">
      <c r="A758" s="173"/>
    </row>
    <row r="759">
      <c r="A759" s="173"/>
    </row>
    <row r="760">
      <c r="A760" s="173"/>
    </row>
    <row r="761">
      <c r="A761" s="173"/>
    </row>
    <row r="762">
      <c r="A762" s="173"/>
    </row>
    <row r="763">
      <c r="A763" s="173"/>
    </row>
    <row r="764">
      <c r="A764" s="173"/>
    </row>
    <row r="765">
      <c r="A765" s="173"/>
    </row>
    <row r="766">
      <c r="A766" s="173"/>
    </row>
    <row r="767">
      <c r="A767" s="173"/>
    </row>
    <row r="768">
      <c r="A768" s="173"/>
    </row>
    <row r="769">
      <c r="A769" s="173"/>
    </row>
    <row r="770">
      <c r="A770" s="173"/>
    </row>
    <row r="771">
      <c r="A771" s="173"/>
    </row>
    <row r="772">
      <c r="A772" s="173"/>
    </row>
    <row r="773">
      <c r="A773" s="173"/>
    </row>
    <row r="774">
      <c r="A774" s="173"/>
    </row>
    <row r="775">
      <c r="A775" s="173"/>
    </row>
    <row r="776">
      <c r="A776" s="173"/>
    </row>
    <row r="777">
      <c r="A777" s="173"/>
    </row>
    <row r="778">
      <c r="A778" s="173"/>
    </row>
    <row r="779">
      <c r="A779" s="173"/>
    </row>
    <row r="780">
      <c r="A780" s="173"/>
    </row>
    <row r="781">
      <c r="A781" s="173"/>
    </row>
    <row r="782">
      <c r="A782" s="173"/>
    </row>
    <row r="783">
      <c r="A783" s="173"/>
    </row>
    <row r="784">
      <c r="A784" s="173"/>
    </row>
    <row r="785">
      <c r="A785" s="173"/>
    </row>
    <row r="786">
      <c r="A786" s="173"/>
    </row>
    <row r="787">
      <c r="A787" s="173"/>
    </row>
    <row r="788">
      <c r="A788" s="173"/>
    </row>
    <row r="789">
      <c r="A789" s="173"/>
    </row>
    <row r="790">
      <c r="A790" s="173"/>
    </row>
    <row r="791">
      <c r="A791" s="173"/>
    </row>
    <row r="792">
      <c r="A792" s="173"/>
    </row>
    <row r="793">
      <c r="A793" s="173"/>
    </row>
    <row r="794">
      <c r="A794" s="173"/>
    </row>
    <row r="795">
      <c r="A795" s="173"/>
    </row>
    <row r="796">
      <c r="A796" s="173"/>
    </row>
    <row r="797">
      <c r="A797" s="173"/>
    </row>
    <row r="798">
      <c r="A798" s="173"/>
    </row>
    <row r="799">
      <c r="A799" s="173"/>
    </row>
    <row r="800">
      <c r="A800" s="173"/>
    </row>
    <row r="801">
      <c r="A801" s="173"/>
    </row>
    <row r="802">
      <c r="A802" s="173"/>
    </row>
    <row r="803">
      <c r="A803" s="173"/>
    </row>
    <row r="804">
      <c r="A804" s="173"/>
    </row>
    <row r="805">
      <c r="A805" s="173"/>
    </row>
    <row r="806">
      <c r="A806" s="173"/>
    </row>
    <row r="807">
      <c r="A807" s="173"/>
    </row>
    <row r="808">
      <c r="A808" s="173"/>
    </row>
    <row r="809">
      <c r="A809" s="173"/>
    </row>
    <row r="810">
      <c r="A810" s="173"/>
    </row>
    <row r="811">
      <c r="A811" s="173"/>
    </row>
    <row r="812">
      <c r="A812" s="173"/>
    </row>
    <row r="813">
      <c r="A813" s="173"/>
    </row>
    <row r="814">
      <c r="A814" s="173"/>
    </row>
    <row r="815">
      <c r="A815" s="173"/>
    </row>
    <row r="816">
      <c r="A816" s="173"/>
    </row>
    <row r="817">
      <c r="A817" s="173"/>
    </row>
    <row r="818">
      <c r="A818" s="173"/>
    </row>
    <row r="819">
      <c r="A819" s="173"/>
    </row>
    <row r="820">
      <c r="A820" s="173"/>
    </row>
    <row r="821">
      <c r="A821" s="173"/>
    </row>
    <row r="822">
      <c r="A822" s="173"/>
    </row>
    <row r="823">
      <c r="A823" s="173"/>
    </row>
    <row r="824">
      <c r="A824" s="173"/>
    </row>
    <row r="825">
      <c r="A825" s="173"/>
    </row>
    <row r="826">
      <c r="A826" s="173"/>
    </row>
    <row r="827">
      <c r="A827" s="173"/>
    </row>
    <row r="828">
      <c r="A828" s="173"/>
    </row>
    <row r="829">
      <c r="A829" s="173"/>
    </row>
    <row r="830">
      <c r="A830" s="173"/>
    </row>
    <row r="831">
      <c r="A831" s="173"/>
    </row>
    <row r="832">
      <c r="A832" s="173"/>
    </row>
    <row r="833">
      <c r="A833" s="173"/>
    </row>
    <row r="834">
      <c r="A834" s="173"/>
    </row>
    <row r="835">
      <c r="A835" s="173"/>
    </row>
    <row r="836">
      <c r="A836" s="173"/>
    </row>
    <row r="837">
      <c r="A837" s="173"/>
    </row>
    <row r="838">
      <c r="A838" s="173"/>
    </row>
    <row r="839">
      <c r="A839" s="173"/>
    </row>
    <row r="840">
      <c r="A840" s="173"/>
    </row>
    <row r="841">
      <c r="A841" s="173"/>
    </row>
    <row r="842">
      <c r="A842" s="173"/>
    </row>
    <row r="843">
      <c r="A843" s="173"/>
    </row>
    <row r="844">
      <c r="A844" s="173"/>
    </row>
    <row r="845">
      <c r="A845" s="173"/>
    </row>
    <row r="846">
      <c r="A846" s="173"/>
    </row>
    <row r="847">
      <c r="A847" s="173"/>
    </row>
    <row r="848">
      <c r="A848" s="173"/>
    </row>
    <row r="849">
      <c r="A849" s="173"/>
    </row>
    <row r="850">
      <c r="A850" s="173"/>
    </row>
    <row r="851">
      <c r="A851" s="173"/>
    </row>
    <row r="852">
      <c r="A852" s="173"/>
    </row>
    <row r="853">
      <c r="A853" s="173"/>
    </row>
    <row r="854">
      <c r="A854" s="173"/>
    </row>
    <row r="855">
      <c r="A855" s="173"/>
    </row>
    <row r="856">
      <c r="A856" s="173"/>
    </row>
    <row r="857">
      <c r="A857" s="173"/>
    </row>
    <row r="858">
      <c r="A858" s="173"/>
    </row>
    <row r="859">
      <c r="A859" s="173"/>
    </row>
    <row r="860">
      <c r="A860" s="173"/>
    </row>
    <row r="861">
      <c r="A861" s="173"/>
    </row>
    <row r="862">
      <c r="A862" s="173"/>
    </row>
    <row r="863">
      <c r="A863" s="173"/>
    </row>
    <row r="864">
      <c r="A864" s="173"/>
    </row>
    <row r="865">
      <c r="A865" s="173"/>
    </row>
    <row r="866">
      <c r="A866" s="173"/>
    </row>
    <row r="867">
      <c r="A867" s="173"/>
    </row>
    <row r="868">
      <c r="A868" s="173"/>
    </row>
    <row r="869">
      <c r="A869" s="173"/>
    </row>
    <row r="870">
      <c r="A870" s="173"/>
    </row>
    <row r="871">
      <c r="A871" s="173"/>
    </row>
    <row r="872">
      <c r="A872" s="173"/>
    </row>
    <row r="873">
      <c r="A873" s="173"/>
    </row>
    <row r="874">
      <c r="A874" s="173"/>
    </row>
    <row r="875">
      <c r="A875" s="173"/>
    </row>
    <row r="876">
      <c r="A876" s="173"/>
    </row>
    <row r="877">
      <c r="A877" s="173"/>
    </row>
    <row r="878">
      <c r="A878" s="173"/>
    </row>
    <row r="879">
      <c r="A879" s="173"/>
    </row>
    <row r="880">
      <c r="A880" s="173"/>
    </row>
    <row r="881">
      <c r="A881" s="173"/>
    </row>
    <row r="882">
      <c r="A882" s="173"/>
    </row>
    <row r="883">
      <c r="A883" s="173"/>
    </row>
    <row r="884">
      <c r="A884" s="173"/>
    </row>
    <row r="885">
      <c r="A885" s="173"/>
    </row>
    <row r="886">
      <c r="A886" s="173"/>
    </row>
    <row r="887">
      <c r="A887" s="173"/>
    </row>
    <row r="888">
      <c r="A888" s="173"/>
    </row>
    <row r="889">
      <c r="A889" s="173"/>
    </row>
    <row r="890">
      <c r="A890" s="173"/>
    </row>
    <row r="891">
      <c r="A891" s="173"/>
    </row>
    <row r="892">
      <c r="A892" s="173"/>
    </row>
    <row r="893">
      <c r="A893" s="173"/>
    </row>
    <row r="894">
      <c r="A894" s="173"/>
    </row>
    <row r="895">
      <c r="A895" s="173"/>
    </row>
    <row r="896">
      <c r="A896" s="173"/>
    </row>
    <row r="897">
      <c r="A897" s="173"/>
    </row>
    <row r="898">
      <c r="A898" s="173"/>
    </row>
    <row r="899">
      <c r="A899" s="173"/>
    </row>
    <row r="900">
      <c r="A900" s="173"/>
    </row>
    <row r="901">
      <c r="A901" s="173"/>
    </row>
    <row r="902">
      <c r="A902" s="173"/>
    </row>
    <row r="903">
      <c r="A903" s="173"/>
    </row>
    <row r="904">
      <c r="A904" s="173"/>
    </row>
    <row r="905">
      <c r="A905" s="173"/>
    </row>
    <row r="906">
      <c r="A906" s="173"/>
    </row>
    <row r="907">
      <c r="A907" s="173"/>
    </row>
    <row r="908">
      <c r="A908" s="173"/>
    </row>
    <row r="909">
      <c r="A909" s="173"/>
    </row>
    <row r="910">
      <c r="A910" s="173"/>
    </row>
    <row r="911">
      <c r="A911" s="173"/>
    </row>
    <row r="912">
      <c r="A912" s="173"/>
    </row>
    <row r="913">
      <c r="A913" s="173"/>
    </row>
    <row r="914">
      <c r="A914" s="173"/>
    </row>
    <row r="915">
      <c r="A915" s="173"/>
    </row>
    <row r="916">
      <c r="A916" s="173"/>
    </row>
    <row r="917">
      <c r="A917" s="173"/>
    </row>
    <row r="918">
      <c r="A918" s="173"/>
    </row>
    <row r="919">
      <c r="A919" s="173"/>
    </row>
    <row r="920">
      <c r="A920" s="173"/>
    </row>
    <row r="921">
      <c r="A921" s="173"/>
    </row>
    <row r="922">
      <c r="A922" s="173"/>
    </row>
    <row r="923">
      <c r="A923" s="173"/>
    </row>
    <row r="924">
      <c r="A924" s="173"/>
    </row>
    <row r="925">
      <c r="A925" s="173"/>
    </row>
    <row r="926">
      <c r="A926" s="173"/>
    </row>
    <row r="927">
      <c r="A927" s="173"/>
    </row>
    <row r="928">
      <c r="A928" s="173"/>
    </row>
    <row r="929">
      <c r="A929" s="173"/>
    </row>
    <row r="930">
      <c r="A930" s="173"/>
    </row>
    <row r="931">
      <c r="A931" s="173"/>
    </row>
    <row r="932">
      <c r="A932" s="173"/>
    </row>
    <row r="933">
      <c r="A933" s="173"/>
    </row>
    <row r="934">
      <c r="A934" s="173"/>
    </row>
    <row r="935">
      <c r="A935" s="173"/>
    </row>
    <row r="936">
      <c r="A936" s="173"/>
    </row>
    <row r="937">
      <c r="A937" s="173"/>
    </row>
    <row r="938">
      <c r="A938" s="173"/>
    </row>
    <row r="939">
      <c r="A939" s="173"/>
    </row>
    <row r="940">
      <c r="A940" s="173"/>
    </row>
    <row r="941">
      <c r="A941" s="173"/>
    </row>
    <row r="942">
      <c r="A942" s="173"/>
    </row>
    <row r="943">
      <c r="A943" s="173"/>
    </row>
    <row r="944">
      <c r="A944" s="173"/>
    </row>
    <row r="945">
      <c r="A945" s="173"/>
    </row>
    <row r="946">
      <c r="A946" s="173"/>
    </row>
    <row r="947">
      <c r="A947" s="173"/>
    </row>
    <row r="948">
      <c r="A948" s="173"/>
    </row>
    <row r="949">
      <c r="A949" s="173"/>
    </row>
    <row r="950">
      <c r="A950" s="173"/>
    </row>
    <row r="951">
      <c r="A951" s="173"/>
    </row>
    <row r="952">
      <c r="A952" s="173"/>
    </row>
    <row r="953">
      <c r="A953" s="173"/>
    </row>
    <row r="954">
      <c r="A954" s="173"/>
    </row>
    <row r="955">
      <c r="A955" s="173"/>
    </row>
    <row r="956">
      <c r="A956" s="173"/>
    </row>
    <row r="957">
      <c r="A957" s="173"/>
    </row>
    <row r="958">
      <c r="A958" s="173"/>
    </row>
    <row r="959">
      <c r="A959" s="173"/>
    </row>
    <row r="960">
      <c r="A960" s="173"/>
    </row>
    <row r="961">
      <c r="A961" s="173"/>
    </row>
    <row r="962">
      <c r="A962" s="173"/>
    </row>
    <row r="963">
      <c r="A963" s="173"/>
    </row>
    <row r="964">
      <c r="A964" s="173"/>
    </row>
    <row r="965">
      <c r="A965" s="173"/>
    </row>
    <row r="966">
      <c r="A966" s="173"/>
    </row>
    <row r="967">
      <c r="A967" s="173"/>
    </row>
    <row r="968">
      <c r="A968" s="173"/>
    </row>
    <row r="969">
      <c r="A969" s="173"/>
    </row>
    <row r="970">
      <c r="A970" s="173"/>
    </row>
    <row r="971">
      <c r="A971" s="173"/>
    </row>
    <row r="972">
      <c r="A972" s="173"/>
    </row>
    <row r="973">
      <c r="A973" s="173"/>
    </row>
    <row r="974">
      <c r="A974" s="173"/>
    </row>
    <row r="975">
      <c r="A975" s="173"/>
    </row>
    <row r="976">
      <c r="A976" s="173"/>
    </row>
    <row r="977">
      <c r="A977" s="173"/>
    </row>
    <row r="978">
      <c r="A978" s="173"/>
    </row>
    <row r="979">
      <c r="A979" s="173"/>
    </row>
    <row r="980">
      <c r="A980" s="173"/>
    </row>
    <row r="981">
      <c r="A981" s="173"/>
    </row>
    <row r="982">
      <c r="A982" s="173"/>
    </row>
    <row r="983">
      <c r="A983" s="173"/>
    </row>
    <row r="984">
      <c r="A984" s="173"/>
    </row>
    <row r="985">
      <c r="A985" s="173"/>
    </row>
    <row r="986">
      <c r="A986" s="173"/>
    </row>
    <row r="987">
      <c r="A987" s="173"/>
    </row>
    <row r="988">
      <c r="A988" s="173"/>
    </row>
    <row r="989">
      <c r="A989" s="173"/>
    </row>
    <row r="990">
      <c r="A990" s="173"/>
    </row>
    <row r="991">
      <c r="A991" s="173"/>
    </row>
    <row r="992">
      <c r="A992" s="173"/>
    </row>
    <row r="993">
      <c r="A993" s="173"/>
    </row>
    <row r="994">
      <c r="A994" s="173"/>
    </row>
    <row r="995">
      <c r="A995" s="173"/>
    </row>
    <row r="996">
      <c r="A996" s="173"/>
    </row>
    <row r="997">
      <c r="A997" s="173"/>
    </row>
    <row r="998">
      <c r="A998" s="173"/>
    </row>
  </sheetData>
  <hyperlinks>
    <hyperlink r:id="rId1" ref="D2"/>
    <hyperlink r:id="rId2" ref="F2"/>
    <hyperlink r:id="rId3" ref="D3"/>
    <hyperlink r:id="rId4" ref="D4"/>
    <hyperlink r:id="rId5" ref="F4"/>
    <hyperlink r:id="rId6" ref="D5"/>
    <hyperlink r:id="rId7" ref="F5"/>
    <hyperlink r:id="rId8" ref="D6"/>
    <hyperlink r:id="rId9" ref="F6"/>
    <hyperlink r:id="rId10" ref="H6"/>
    <hyperlink r:id="rId11" ref="D7"/>
    <hyperlink r:id="rId12" ref="D8"/>
    <hyperlink r:id="rId13" ref="D9"/>
    <hyperlink r:id="rId14" ref="D11"/>
    <hyperlink r:id="rId15" ref="D12"/>
    <hyperlink r:id="rId16" ref="F12"/>
    <hyperlink r:id="rId17" ref="D17"/>
  </hyperlinks>
  <drawing r:id="rId18"/>
</worksheet>
</file>